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LAG\ARQUITECTURA\DEMO-CATALINA GALINDEZ-06.04.26\"/>
    </mc:Choice>
  </mc:AlternateContent>
  <xr:revisionPtr revIDLastSave="0" documentId="13_ncr:1_{75E39D80-86E6-4DBB-A0B0-389DAA08CF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PTO ESTUDIO TV" sheetId="27" r:id="rId1"/>
    <sheet name="PLAN DE TRABAJO" sheetId="4" r:id="rId2"/>
    <sheet name="Curva avance %" sheetId="15" r:id="rId3"/>
    <sheet name="Curva inversiones" sheetId="16" r:id="rId4"/>
  </sheets>
  <externalReferences>
    <externalReference r:id="rId5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n" localSheetId="0">#REF!</definedName>
    <definedName name="\n">#REF!</definedName>
    <definedName name="\o" localSheetId="0">#REF!</definedName>
    <definedName name="\o">#REF!</definedName>
    <definedName name="__123Graph_A" localSheetId="0" hidden="1">#REF!</definedName>
    <definedName name="__123Graph_A" hidden="1">#REF!</definedName>
    <definedName name="__123Graph_LBL_A" localSheetId="0" hidden="1">#REF!</definedName>
    <definedName name="__123Graph_LBL_A" hidden="1">#REF!</definedName>
    <definedName name="__123Graph_X" localSheetId="0" hidden="1">#REF!</definedName>
    <definedName name="__123Graph_X" hidden="1">#REF!</definedName>
    <definedName name="_01" localSheetId="0">[1]Presupuesto!#REF!</definedName>
    <definedName name="_01">[1]Presupuesto!#REF!</definedName>
    <definedName name="_02" localSheetId="0">[1]Presupuesto!#REF!</definedName>
    <definedName name="_02">[1]Presupuesto!#REF!</definedName>
    <definedName name="_03" localSheetId="0">[1]Presupuesto!#REF!</definedName>
    <definedName name="_03">[1]Presupuesto!#REF!</definedName>
    <definedName name="_04" localSheetId="0">[1]Presupuesto!#REF!</definedName>
    <definedName name="_04">[1]Presupuesto!#REF!</definedName>
    <definedName name="_05" localSheetId="0">[1]Presupuesto!#REF!</definedName>
    <definedName name="_05">[1]Presupuesto!#REF!</definedName>
    <definedName name="_06" localSheetId="0">[1]Presupuesto!#REF!</definedName>
    <definedName name="_06">[1]Presupuesto!#REF!</definedName>
    <definedName name="_07" localSheetId="0">[1]Presupuesto!#REF!</definedName>
    <definedName name="_07">[1]Presupuesto!#REF!</definedName>
    <definedName name="_08" localSheetId="0">[1]Presupuesto!#REF!</definedName>
    <definedName name="_08">[1]Presupuesto!#REF!</definedName>
    <definedName name="_09" localSheetId="0">[1]Presupuesto!#REF!</definedName>
    <definedName name="_09">[1]Presupuesto!#REF!</definedName>
    <definedName name="_10" localSheetId="0">[1]Presupuesto!#REF!</definedName>
    <definedName name="_10">[1]Presupuesto!#REF!</definedName>
    <definedName name="_11" localSheetId="0">[1]Presupuesto!#REF!</definedName>
    <definedName name="_11">[1]Presupuesto!#REF!</definedName>
    <definedName name="_12" localSheetId="0">[1]Presupuesto!#REF!</definedName>
    <definedName name="_12">[1]Presupuesto!#REF!</definedName>
    <definedName name="_13" localSheetId="0">[1]Presupuesto!#REF!</definedName>
    <definedName name="_13">[1]Presupuesto!#REF!</definedName>
    <definedName name="_14" localSheetId="0">[1]Presupuesto!#REF!</definedName>
    <definedName name="_14">[1]Presupuesto!#REF!</definedName>
    <definedName name="_15" localSheetId="0">[1]Presupuesto!#REF!</definedName>
    <definedName name="_15">[1]Presupuesto!#REF!</definedName>
    <definedName name="_16" localSheetId="0">[1]Presupuesto!#REF!</definedName>
    <definedName name="_16">[1]Presupuesto!#REF!</definedName>
    <definedName name="_17" localSheetId="0">[1]Presupuesto!#REF!</definedName>
    <definedName name="_17">[1]Presupuesto!#REF!</definedName>
    <definedName name="_18" localSheetId="0">[1]Presupuesto!#REF!</definedName>
    <definedName name="_18">[1]Presupuesto!#REF!</definedName>
    <definedName name="_19" localSheetId="0">[1]Presupuesto!#REF!</definedName>
    <definedName name="_19">[1]Presupuesto!#REF!</definedName>
    <definedName name="_20" localSheetId="0">[1]Presupuesto!#REF!</definedName>
    <definedName name="_20">[1]Presupuesto!#REF!</definedName>
    <definedName name="_21" localSheetId="0">[1]Presupuesto!#REF!</definedName>
    <definedName name="_21">[1]Presupuesto!#REF!</definedName>
    <definedName name="_22" localSheetId="0">[1]Presupuesto!#REF!</definedName>
    <definedName name="_22">[1]Presupuesto!#REF!</definedName>
    <definedName name="_23" localSheetId="0">[1]Presupuesto!#REF!</definedName>
    <definedName name="_23">[1]Presupuesto!#REF!</definedName>
    <definedName name="_24" localSheetId="0">[1]Presupuesto!#REF!</definedName>
    <definedName name="_24">[1]Presupuesto!#REF!</definedName>
    <definedName name="_25" localSheetId="0">[1]Presupuesto!#REF!</definedName>
    <definedName name="_25">[1]Presupuesto!#REF!</definedName>
    <definedName name="_26" localSheetId="0">[1]Presupuesto!#REF!</definedName>
    <definedName name="_26">[1]Presupuesto!#REF!</definedName>
    <definedName name="_27" localSheetId="0">[1]Presupuesto!#REF!</definedName>
    <definedName name="_27">[1]Presupuesto!#REF!</definedName>
    <definedName name="_Key1" localSheetId="0" hidden="1">[1]Presupuesto!#REF!</definedName>
    <definedName name="_Key1" hidden="1">[1]Presupuesto!#REF!</definedName>
    <definedName name="_Order1" hidden="1">255</definedName>
    <definedName name="_xlnm.Print_Area" localSheetId="1">'PLAN DE TRABAJO'!$B$40:$H$77</definedName>
    <definedName name="cotizacion1" localSheetId="0">[1]Presupuesto!#REF!</definedName>
    <definedName name="cotizacion1">[1]Presupuesto!#REF!</definedName>
    <definedName name="cotizacion2" localSheetId="0">[1]Presupuesto!#REF!</definedName>
    <definedName name="cotizacion2">[1]Presupuesto!#REF!</definedName>
    <definedName name="cotizacion3" localSheetId="0">[1]Presupuesto!#REF!</definedName>
    <definedName name="cotizacion3">[1]Presupuesto!#REF!</definedName>
    <definedName name="CRONO" localSheetId="0">#REF!</definedName>
    <definedName name="CRONO">#REF!</definedName>
    <definedName name="CUADROE" localSheetId="0">[1]Presupuesto!#REF!</definedName>
    <definedName name="CUADROE">[1]Presupuesto!#REF!</definedName>
    <definedName name="HOJA" localSheetId="0">#REF!</definedName>
    <definedName name="HOJA">#REF!</definedName>
    <definedName name="PLAN" localSheetId="0">#REF!</definedName>
    <definedName name="PLAN">#REF!</definedName>
    <definedName name="RESUMEN" localSheetId="0">[1]Presupuesto!#REF!</definedName>
    <definedName name="RESUMEN">[1]Presupuesto!#REF!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9" i="4" l="1"/>
  <c r="B70" i="4"/>
  <c r="I27" i="4"/>
  <c r="I28" i="4"/>
  <c r="I29" i="4"/>
  <c r="I30" i="4"/>
  <c r="I31" i="4"/>
  <c r="I32" i="4"/>
  <c r="I33" i="4"/>
  <c r="I34" i="4"/>
  <c r="I35" i="4"/>
  <c r="C36" i="4"/>
  <c r="M89" i="27"/>
  <c r="M95" i="27"/>
  <c r="BH142" i="27"/>
  <c r="BH138" i="27"/>
  <c r="BA157" i="27"/>
  <c r="BA152" i="27"/>
  <c r="BA105" i="27"/>
  <c r="BA115" i="27"/>
  <c r="BA113" i="27"/>
  <c r="BA112" i="27"/>
  <c r="BA111" i="27"/>
  <c r="BA109" i="27"/>
  <c r="BI120" i="27"/>
  <c r="BH120" i="27"/>
  <c r="BH124" i="27"/>
  <c r="BH29" i="27"/>
  <c r="BI25" i="27"/>
  <c r="BH25" i="27"/>
  <c r="BH39" i="27"/>
  <c r="BB152" i="27"/>
  <c r="BI44" i="27"/>
  <c r="BH44" i="27"/>
  <c r="BI82" i="27"/>
  <c r="BH82" i="27"/>
  <c r="BI63" i="27"/>
  <c r="BH63" i="27"/>
  <c r="BB105" i="27"/>
  <c r="AS498" i="27"/>
  <c r="AR498" i="27"/>
  <c r="AS479" i="27"/>
  <c r="AR479" i="27"/>
  <c r="AR460" i="27"/>
  <c r="AS460" i="27"/>
  <c r="AS441" i="27"/>
  <c r="AR441" i="27"/>
  <c r="AS422" i="27"/>
  <c r="AR422" i="27"/>
  <c r="AS403" i="27"/>
  <c r="AR403" i="27"/>
  <c r="AS384" i="27"/>
  <c r="AR384" i="27"/>
  <c r="AS365" i="27"/>
  <c r="AR365" i="27"/>
  <c r="AS346" i="27"/>
  <c r="AR346" i="27"/>
  <c r="AS327" i="27"/>
  <c r="AR327" i="27"/>
  <c r="AS308" i="27"/>
  <c r="AR308" i="27"/>
  <c r="AS289" i="27"/>
  <c r="AR289" i="27"/>
  <c r="AS270" i="27"/>
  <c r="AR270" i="27"/>
  <c r="AS251" i="27"/>
  <c r="AR251" i="27"/>
  <c r="AR613" i="27"/>
  <c r="AR633" i="27"/>
  <c r="AR653" i="27"/>
  <c r="AS649" i="27"/>
  <c r="AR649" i="27"/>
  <c r="AS629" i="27"/>
  <c r="AR629" i="27"/>
  <c r="AS609" i="27"/>
  <c r="AR609" i="27"/>
  <c r="AS589" i="27"/>
  <c r="AR589" i="27"/>
  <c r="AS555" i="27"/>
  <c r="AR555" i="27"/>
  <c r="AR194" i="27"/>
  <c r="AS194" i="27"/>
  <c r="BA110" i="27" l="1"/>
  <c r="BH143" i="27"/>
  <c r="BH144" i="27" s="1"/>
  <c r="BJ142" i="27"/>
  <c r="BA114" i="27"/>
  <c r="BH30" i="27"/>
  <c r="BH31" i="27" s="1"/>
  <c r="BJ124" i="27"/>
  <c r="BH125" i="27"/>
  <c r="BH126" i="27" s="1"/>
  <c r="AR274" i="27"/>
  <c r="AR275" i="27" s="1"/>
  <c r="AR276" i="27" s="1"/>
  <c r="AR277" i="27" s="1"/>
  <c r="AR445" i="27"/>
  <c r="AR426" i="27"/>
  <c r="AR369" i="27"/>
  <c r="AR350" i="27"/>
  <c r="AR331" i="27"/>
  <c r="AR312" i="27"/>
  <c r="AR313" i="27" s="1"/>
  <c r="AR293" i="27"/>
  <c r="AR255" i="27"/>
  <c r="AR502" i="27"/>
  <c r="AR503" i="27" s="1"/>
  <c r="AR654" i="27"/>
  <c r="AR655" i="27" s="1"/>
  <c r="AR634" i="27"/>
  <c r="AR635" i="27" s="1"/>
  <c r="AR637" i="27" s="1"/>
  <c r="AR614" i="27"/>
  <c r="AR615" i="27" s="1"/>
  <c r="BA116" i="27" l="1"/>
  <c r="BH48" i="27"/>
  <c r="BH49" i="27" s="1"/>
  <c r="BH67" i="27"/>
  <c r="BH86" i="27"/>
  <c r="AR370" i="27"/>
  <c r="AR371" i="27" s="1"/>
  <c r="AR372" i="27" s="1"/>
  <c r="AR256" i="27"/>
  <c r="AR257" i="27" s="1"/>
  <c r="AR258" i="27" s="1"/>
  <c r="AR332" i="27"/>
  <c r="AR333" i="27" s="1"/>
  <c r="AR334" i="27" s="1"/>
  <c r="AR427" i="27"/>
  <c r="AR428" i="27" s="1"/>
  <c r="AR429" i="27" s="1"/>
  <c r="AR294" i="27"/>
  <c r="AR295" i="27" s="1"/>
  <c r="AR296" i="27" s="1"/>
  <c r="AR351" i="27"/>
  <c r="AR352" i="27" s="1"/>
  <c r="AR353" i="27" s="1"/>
  <c r="AR446" i="27"/>
  <c r="AR447" i="27" s="1"/>
  <c r="AR448" i="27" s="1"/>
  <c r="AR504" i="27"/>
  <c r="AR505" i="27" s="1"/>
  <c r="AR483" i="27"/>
  <c r="AR484" i="27" s="1"/>
  <c r="AR464" i="27"/>
  <c r="AR407" i="27"/>
  <c r="AR408" i="27" s="1"/>
  <c r="AR388" i="27"/>
  <c r="AR314" i="27"/>
  <c r="AR315" i="27" s="1"/>
  <c r="AR657" i="27"/>
  <c r="AR617" i="27"/>
  <c r="BJ48" i="27" l="1"/>
  <c r="BH50" i="27"/>
  <c r="BH51" i="27" s="1"/>
  <c r="BJ86" i="27"/>
  <c r="BH87" i="27"/>
  <c r="BH68" i="27"/>
  <c r="BH69" i="27" s="1"/>
  <c r="BH70" i="27" s="1"/>
  <c r="BJ67" i="27"/>
  <c r="AR465" i="27"/>
  <c r="AR466" i="27" s="1"/>
  <c r="AR467" i="27" s="1"/>
  <c r="AR389" i="27"/>
  <c r="AR390" i="27" s="1"/>
  <c r="AR391" i="27" s="1"/>
  <c r="AR485" i="27"/>
  <c r="AR486" i="27" s="1"/>
  <c r="AR409" i="27"/>
  <c r="AR410" i="27" s="1"/>
  <c r="BH88" i="27" l="1"/>
  <c r="BH89" i="27" s="1"/>
  <c r="AJ26" i="27" l="1"/>
  <c r="AJ32" i="27"/>
  <c r="AJ31" i="27"/>
  <c r="AJ30" i="27"/>
  <c r="AJ47" i="27"/>
  <c r="AK47" i="27"/>
  <c r="AJ51" i="27"/>
  <c r="AJ52" i="27"/>
  <c r="AJ53" i="27"/>
  <c r="AK26" i="27"/>
  <c r="AS137" i="27"/>
  <c r="AR137" i="27"/>
  <c r="AR141" i="27"/>
  <c r="AJ33" i="27" l="1"/>
  <c r="AJ34" i="27" s="1"/>
  <c r="AJ35" i="27" s="1"/>
  <c r="AJ54" i="27"/>
  <c r="AJ55" i="27" s="1"/>
  <c r="AK56" i="27"/>
  <c r="AC179" i="27" l="1"/>
  <c r="AB179" i="27"/>
  <c r="BA9" i="27"/>
  <c r="BA10" i="27" s="1"/>
  <c r="BB5" i="27"/>
  <c r="BA5" i="27"/>
  <c r="AB32" i="27"/>
  <c r="BA11" i="27" l="1"/>
  <c r="BA12" i="27" s="1"/>
  <c r="AB31" i="27" l="1"/>
  <c r="AC27" i="27"/>
  <c r="AB27" i="27"/>
  <c r="AB33" i="27" l="1"/>
  <c r="AB34" i="27" s="1"/>
  <c r="AC217" i="27"/>
  <c r="AB217" i="27"/>
  <c r="AC198" i="27"/>
  <c r="AB198" i="27"/>
  <c r="AB160" i="27"/>
  <c r="AC141" i="27"/>
  <c r="AB141" i="27"/>
  <c r="AC160" i="27"/>
  <c r="AC122" i="27"/>
  <c r="AB122" i="27"/>
  <c r="AC103" i="27"/>
  <c r="AB103" i="27"/>
  <c r="AC84" i="27"/>
  <c r="AB84" i="27"/>
  <c r="AB183" i="27"/>
  <c r="AB202" i="27" l="1"/>
  <c r="AB203" i="27" s="1"/>
  <c r="AB221" i="27"/>
  <c r="AB222" i="27" s="1"/>
  <c r="AB223" i="27" s="1"/>
  <c r="AB224" i="27" s="1"/>
  <c r="AB184" i="27"/>
  <c r="AB185" i="27" s="1"/>
  <c r="AB50" i="27"/>
  <c r="AB51" i="27" s="1"/>
  <c r="AB52" i="27" s="1"/>
  <c r="AB164" i="27"/>
  <c r="AB145" i="27"/>
  <c r="AB146" i="27" s="1"/>
  <c r="AB147" i="27" s="1"/>
  <c r="AB126" i="27"/>
  <c r="AB107" i="27"/>
  <c r="AB108" i="27" s="1"/>
  <c r="AB109" i="27" s="1"/>
  <c r="AB88" i="27"/>
  <c r="AB89" i="27" s="1"/>
  <c r="AB90" i="27" s="1"/>
  <c r="AB91" i="27" s="1"/>
  <c r="AB186" i="27" l="1"/>
  <c r="AB127" i="27"/>
  <c r="AB128" i="27" s="1"/>
  <c r="AB165" i="27"/>
  <c r="AB110" i="27"/>
  <c r="AB148" i="27"/>
  <c r="AB166" i="27" l="1"/>
  <c r="AB167" i="27" s="1"/>
  <c r="AB129" i="27"/>
  <c r="AR175" i="27" l="1"/>
  <c r="AR103" i="27" l="1"/>
  <c r="AR117" i="27" l="1"/>
  <c r="AR123" i="27"/>
  <c r="AR122" i="27"/>
  <c r="AR156" i="27"/>
  <c r="AS156" i="27"/>
  <c r="AR160" i="27"/>
  <c r="AR96" i="27"/>
  <c r="AR102" i="27"/>
  <c r="AR101" i="27"/>
  <c r="AR100" i="27"/>
  <c r="BB43" i="27"/>
  <c r="BA43" i="27"/>
  <c r="AR104" i="27" l="1"/>
  <c r="AR105" i="27" s="1"/>
  <c r="AR81" i="27" l="1"/>
  <c r="AR77" i="27"/>
  <c r="AK223" i="27"/>
  <c r="AJ223" i="27"/>
  <c r="AJ229" i="27"/>
  <c r="AK203" i="27"/>
  <c r="AJ203" i="27"/>
  <c r="AK183" i="27"/>
  <c r="AJ183" i="27"/>
  <c r="AJ169" i="27"/>
  <c r="AJ168" i="27"/>
  <c r="AJ167" i="27"/>
  <c r="AK162" i="27"/>
  <c r="AJ162" i="27"/>
  <c r="AK125" i="27"/>
  <c r="AJ125" i="27"/>
  <c r="AK143" i="27"/>
  <c r="AK124" i="27"/>
  <c r="AJ143" i="27"/>
  <c r="AJ124" i="27"/>
  <c r="AJ110" i="27"/>
  <c r="AK105" i="27"/>
  <c r="AJ105" i="27"/>
  <c r="AK87" i="27"/>
  <c r="AJ87" i="27"/>
  <c r="AK67" i="27"/>
  <c r="AJ67" i="27"/>
  <c r="AJ73" i="27"/>
  <c r="AJ72" i="27"/>
  <c r="AJ71" i="27"/>
  <c r="AJ9" i="27"/>
  <c r="AJ12" i="27"/>
  <c r="AJ11" i="27"/>
  <c r="AJ10" i="27"/>
  <c r="AK5" i="27"/>
  <c r="AJ5" i="27"/>
  <c r="AK76" i="27" l="1"/>
  <c r="AJ209" i="27"/>
  <c r="AJ227" i="27"/>
  <c r="AJ207" i="27"/>
  <c r="AJ208" i="27" s="1"/>
  <c r="AJ189" i="27"/>
  <c r="AJ109" i="27"/>
  <c r="AJ111" i="27" s="1"/>
  <c r="AJ128" i="27"/>
  <c r="AJ228" i="27" l="1"/>
  <c r="AJ210" i="27"/>
  <c r="AJ211" i="27" s="1"/>
  <c r="AJ147" i="27"/>
  <c r="AJ166" i="27"/>
  <c r="AJ74" i="27"/>
  <c r="AJ75" i="27" s="1"/>
  <c r="AJ13" i="27"/>
  <c r="AJ14" i="27" s="1"/>
  <c r="AK113" i="27"/>
  <c r="AJ112" i="27"/>
  <c r="AR179" i="27" l="1"/>
  <c r="AR198" i="27"/>
  <c r="AR142" i="27"/>
  <c r="AR143" i="27" s="1"/>
  <c r="AR144" i="27" s="1"/>
  <c r="AR199" i="27"/>
  <c r="AR161" i="27"/>
  <c r="AR180" i="27"/>
  <c r="AJ230" i="27"/>
  <c r="AJ231" i="27" s="1"/>
  <c r="AR200" i="27" l="1"/>
  <c r="AR201" i="27" s="1"/>
  <c r="AS145" i="27"/>
  <c r="AR162" i="27"/>
  <c r="AR163" i="27" s="1"/>
  <c r="AS164" i="27" s="1"/>
  <c r="AR181" i="27"/>
  <c r="AR182" i="27" s="1"/>
  <c r="T161" i="27"/>
  <c r="U157" i="27"/>
  <c r="T157" i="27"/>
  <c r="T162" i="27"/>
  <c r="BH151" i="27"/>
  <c r="BH152" i="27" s="1"/>
  <c r="T138" i="27"/>
  <c r="T143" i="27"/>
  <c r="T142" i="27"/>
  <c r="BH133" i="27" l="1"/>
  <c r="BH134" i="27" s="1"/>
  <c r="BA123" i="27"/>
  <c r="BA124" i="27" s="1"/>
  <c r="BH58" i="27"/>
  <c r="BH59" i="27" s="1"/>
  <c r="BH38" i="27"/>
  <c r="BH40" i="27" s="1"/>
  <c r="BH77" i="27"/>
  <c r="BH78" i="27" s="1"/>
  <c r="BH96" i="27"/>
  <c r="BH97" i="27" s="1"/>
  <c r="AR493" i="27"/>
  <c r="AR494" i="27" s="1"/>
  <c r="AR512" i="27"/>
  <c r="AR513" i="27" s="1"/>
  <c r="AR455" i="27"/>
  <c r="AR456" i="27" s="1"/>
  <c r="AR474" i="27"/>
  <c r="AR475" i="27" s="1"/>
  <c r="AR417" i="27"/>
  <c r="AR418" i="27" s="1"/>
  <c r="AR436" i="27"/>
  <c r="AR437" i="27" s="1"/>
  <c r="AR379" i="27"/>
  <c r="AR380" i="27" s="1"/>
  <c r="AR398" i="27"/>
  <c r="AR399" i="27" s="1"/>
  <c r="AR341" i="27"/>
  <c r="AR342" i="27" s="1"/>
  <c r="AR360" i="27"/>
  <c r="AR361" i="27" s="1"/>
  <c r="AR303" i="27"/>
  <c r="AR304" i="27" s="1"/>
  <c r="AR322" i="27"/>
  <c r="AR323" i="27" s="1"/>
  <c r="AR265" i="27"/>
  <c r="AR266" i="27" s="1"/>
  <c r="AR284" i="27"/>
  <c r="AR285" i="27" s="1"/>
  <c r="AR644" i="27"/>
  <c r="AR645" i="27" s="1"/>
  <c r="AR664" i="27"/>
  <c r="AR665" i="27" s="1"/>
  <c r="AR208" i="27"/>
  <c r="AR209" i="27" s="1"/>
  <c r="AR624" i="27"/>
  <c r="AR625" i="27" s="1"/>
  <c r="AS202" i="27"/>
  <c r="AR151" i="27"/>
  <c r="AR152" i="27" s="1"/>
  <c r="AJ62" i="27"/>
  <c r="AJ63" i="27" s="1"/>
  <c r="AJ42" i="27"/>
  <c r="AJ43" i="27" s="1"/>
  <c r="BA19" i="27"/>
  <c r="BA20" i="27" s="1"/>
  <c r="AB193" i="27"/>
  <c r="AB194" i="27" s="1"/>
  <c r="AB231" i="27"/>
  <c r="AB232" i="27" s="1"/>
  <c r="AB41" i="27"/>
  <c r="AB42" i="27" s="1"/>
  <c r="AB155" i="27"/>
  <c r="AB156" i="27" s="1"/>
  <c r="AB174" i="27"/>
  <c r="AB175" i="27" s="1"/>
  <c r="AB117" i="27"/>
  <c r="AB118" i="27" s="1"/>
  <c r="AB136" i="27"/>
  <c r="AB137" i="27" s="1"/>
  <c r="AB98" i="27"/>
  <c r="AB99" i="27" s="1"/>
  <c r="AR189" i="27"/>
  <c r="AR190" i="27" s="1"/>
  <c r="AR112" i="27"/>
  <c r="AR113" i="27" s="1"/>
  <c r="AR170" i="27"/>
  <c r="AR171" i="27" s="1"/>
  <c r="AR132" i="27"/>
  <c r="AR133" i="27" s="1"/>
  <c r="AJ238" i="27"/>
  <c r="AJ239" i="27" s="1"/>
  <c r="BA57" i="27"/>
  <c r="BA58" i="27" s="1"/>
  <c r="AJ198" i="27"/>
  <c r="AJ199" i="27" s="1"/>
  <c r="AJ218" i="27"/>
  <c r="AJ219" i="27" s="1"/>
  <c r="AJ157" i="27"/>
  <c r="AJ158" i="27" s="1"/>
  <c r="AJ178" i="27"/>
  <c r="AJ179" i="27" s="1"/>
  <c r="AJ138" i="27"/>
  <c r="AJ139" i="27" s="1"/>
  <c r="AJ82" i="27"/>
  <c r="AJ83" i="27" s="1"/>
  <c r="AJ119" i="27"/>
  <c r="AJ120" i="27" s="1"/>
  <c r="T170" i="27"/>
  <c r="T172" i="27" s="1"/>
  <c r="AJ100" i="27"/>
  <c r="AJ101" i="27" s="1"/>
  <c r="AJ21" i="27"/>
  <c r="AJ22" i="27" s="1"/>
  <c r="T163" i="27"/>
  <c r="T144" i="27"/>
  <c r="U101" i="27" l="1"/>
  <c r="U83" i="27"/>
  <c r="BH146" i="27"/>
  <c r="BH147" i="27"/>
  <c r="AB69" i="27"/>
  <c r="AB70" i="27" s="1"/>
  <c r="AB71" i="27" s="1"/>
  <c r="AC65" i="27"/>
  <c r="AB65" i="27"/>
  <c r="AC46" i="27"/>
  <c r="AB46" i="27"/>
  <c r="AB9" i="27"/>
  <c r="AB10" i="27"/>
  <c r="AB11" i="27"/>
  <c r="AB12" i="27"/>
  <c r="AB13" i="27"/>
  <c r="AC5" i="27"/>
  <c r="AB5" i="27"/>
  <c r="T180" i="27"/>
  <c r="T181" i="27"/>
  <c r="U176" i="27"/>
  <c r="T176" i="27"/>
  <c r="T123" i="27"/>
  <c r="T124" i="27"/>
  <c r="T105" i="27"/>
  <c r="T106" i="27"/>
  <c r="U119" i="27"/>
  <c r="T119" i="27"/>
  <c r="T101" i="27"/>
  <c r="T87" i="27"/>
  <c r="T88" i="27"/>
  <c r="T91" i="27"/>
  <c r="T83" i="27"/>
  <c r="T73" i="27"/>
  <c r="T69" i="27"/>
  <c r="T70" i="27"/>
  <c r="T51" i="27"/>
  <c r="T52" i="27"/>
  <c r="U65" i="27"/>
  <c r="T65" i="27"/>
  <c r="U47" i="27"/>
  <c r="T47" i="27"/>
  <c r="T30" i="27"/>
  <c r="T20" i="27"/>
  <c r="T42" i="27"/>
  <c r="U26" i="27"/>
  <c r="T26" i="27"/>
  <c r="T9" i="27"/>
  <c r="T10" i="27"/>
  <c r="T21" i="27"/>
  <c r="AR524" i="27"/>
  <c r="AR543" i="27"/>
  <c r="AR545" i="27"/>
  <c r="AR559" i="27"/>
  <c r="AR560" i="27"/>
  <c r="AR561" i="27"/>
  <c r="AR562" i="27"/>
  <c r="AR563" i="27"/>
  <c r="AR564" i="27"/>
  <c r="AR565" i="27"/>
  <c r="AR566" i="27"/>
  <c r="AR567" i="27"/>
  <c r="AR568" i="27"/>
  <c r="AR569" i="27"/>
  <c r="AR570" i="27"/>
  <c r="AR571" i="27"/>
  <c r="AR572" i="27"/>
  <c r="AR573" i="27"/>
  <c r="AR593" i="27"/>
  <c r="BA29" i="27"/>
  <c r="BA85" i="27"/>
  <c r="BA86" i="27"/>
  <c r="BA87" i="27"/>
  <c r="BA159" i="27"/>
  <c r="BA136" i="27"/>
  <c r="BA90" i="27"/>
  <c r="BA92" i="27"/>
  <c r="BA132" i="27"/>
  <c r="BA133" i="27"/>
  <c r="BA134" i="27"/>
  <c r="BA137" i="27"/>
  <c r="BA139" i="27"/>
  <c r="BA156" i="27"/>
  <c r="BA158" i="27"/>
  <c r="BA160" i="27"/>
  <c r="BA162" i="27"/>
  <c r="BH9" i="27"/>
  <c r="BH10" i="27"/>
  <c r="BH20" i="27"/>
  <c r="BM27" i="27"/>
  <c r="C35" i="4" s="1"/>
  <c r="C68" i="4" s="1"/>
  <c r="BL27" i="27"/>
  <c r="B35" i="4" s="1"/>
  <c r="B68" i="4" s="1"/>
  <c r="BM26" i="27"/>
  <c r="C34" i="4" s="1"/>
  <c r="C67" i="4" s="1"/>
  <c r="BL26" i="27"/>
  <c r="B34" i="4" s="1"/>
  <c r="B67" i="4" s="1"/>
  <c r="BM25" i="27"/>
  <c r="C33" i="4" s="1"/>
  <c r="C66" i="4" s="1"/>
  <c r="BL25" i="27"/>
  <c r="B33" i="4" s="1"/>
  <c r="B66" i="4" s="1"/>
  <c r="BM24" i="27"/>
  <c r="C32" i="4" s="1"/>
  <c r="C65" i="4" s="1"/>
  <c r="BL24" i="27"/>
  <c r="B32" i="4" s="1"/>
  <c r="B65" i="4" s="1"/>
  <c r="BM23" i="27"/>
  <c r="C31" i="4" s="1"/>
  <c r="C64" i="4" s="1"/>
  <c r="BL23" i="27"/>
  <c r="B31" i="4" s="1"/>
  <c r="B64" i="4" s="1"/>
  <c r="BM22" i="27"/>
  <c r="C30" i="4" s="1"/>
  <c r="C63" i="4" s="1"/>
  <c r="BL22" i="27"/>
  <c r="B30" i="4" s="1"/>
  <c r="B63" i="4" s="1"/>
  <c r="BM21" i="27"/>
  <c r="C29" i="4" s="1"/>
  <c r="C62" i="4" s="1"/>
  <c r="BL21" i="27"/>
  <c r="B29" i="4" s="1"/>
  <c r="B62" i="4" s="1"/>
  <c r="BM20" i="27"/>
  <c r="C28" i="4" s="1"/>
  <c r="C61" i="4" s="1"/>
  <c r="BL20" i="27"/>
  <c r="B28" i="4" s="1"/>
  <c r="B61" i="4" s="1"/>
  <c r="BM19" i="27"/>
  <c r="C27" i="4" s="1"/>
  <c r="C60" i="4" s="1"/>
  <c r="BL19" i="27"/>
  <c r="B27" i="4" s="1"/>
  <c r="B60" i="4" s="1"/>
  <c r="BM18" i="27"/>
  <c r="C26" i="4" s="1"/>
  <c r="C59" i="4" s="1"/>
  <c r="BL18" i="27"/>
  <c r="B26" i="4" s="1"/>
  <c r="B59" i="4" s="1"/>
  <c r="BM17" i="27"/>
  <c r="C25" i="4" s="1"/>
  <c r="C58" i="4" s="1"/>
  <c r="BL17" i="27"/>
  <c r="B25" i="4" s="1"/>
  <c r="B58" i="4" s="1"/>
  <c r="BM16" i="27"/>
  <c r="C24" i="4" s="1"/>
  <c r="C57" i="4" s="1"/>
  <c r="BL16" i="27"/>
  <c r="B24" i="4" s="1"/>
  <c r="B57" i="4" s="1"/>
  <c r="BM15" i="27"/>
  <c r="C23" i="4" s="1"/>
  <c r="C56" i="4" s="1"/>
  <c r="BL15" i="27"/>
  <c r="B23" i="4" s="1"/>
  <c r="B56" i="4" s="1"/>
  <c r="BM14" i="27"/>
  <c r="C22" i="4" s="1"/>
  <c r="C55" i="4" s="1"/>
  <c r="BL14" i="27"/>
  <c r="B22" i="4" s="1"/>
  <c r="B55" i="4" s="1"/>
  <c r="BM13" i="27"/>
  <c r="C21" i="4" s="1"/>
  <c r="C54" i="4" s="1"/>
  <c r="BL13" i="27"/>
  <c r="B21" i="4" s="1"/>
  <c r="B54" i="4" s="1"/>
  <c r="BM12" i="27"/>
  <c r="C20" i="4" s="1"/>
  <c r="C53" i="4" s="1"/>
  <c r="BL12" i="27"/>
  <c r="B20" i="4" s="1"/>
  <c r="B53" i="4" s="1"/>
  <c r="BM11" i="27"/>
  <c r="C19" i="4" s="1"/>
  <c r="C52" i="4" s="1"/>
  <c r="BL11" i="27"/>
  <c r="B19" i="4" s="1"/>
  <c r="B52" i="4" s="1"/>
  <c r="B41" i="4"/>
  <c r="B42" i="4"/>
  <c r="I36" i="4"/>
  <c r="B40" i="4"/>
  <c r="B43" i="4"/>
  <c r="B44" i="4"/>
  <c r="F47" i="4"/>
  <c r="F80" i="4" s="1"/>
  <c r="G47" i="4"/>
  <c r="G80" i="4" s="1"/>
  <c r="H47" i="4"/>
  <c r="H80" i="4" s="1"/>
  <c r="AR82" i="27"/>
  <c r="J129" i="27"/>
  <c r="AR59" i="27"/>
  <c r="BA128" i="27"/>
  <c r="AR41" i="27"/>
  <c r="BA81" i="27"/>
  <c r="AS536" i="27"/>
  <c r="AR536" i="27"/>
  <c r="AR23" i="27"/>
  <c r="BI101" i="27"/>
  <c r="AS5" i="27"/>
  <c r="AR5" i="27"/>
  <c r="AR517" i="27"/>
  <c r="BB128" i="27"/>
  <c r="AS517" i="27"/>
  <c r="BH105" i="27"/>
  <c r="BB24" i="27"/>
  <c r="BA24" i="27"/>
  <c r="BH101" i="27"/>
  <c r="AS232" i="27"/>
  <c r="AR232" i="27"/>
  <c r="AS59" i="27"/>
  <c r="AS41" i="27"/>
  <c r="AS23" i="27"/>
  <c r="BM10" i="27"/>
  <c r="C18" i="4" s="1"/>
  <c r="C51" i="4" s="1"/>
  <c r="BL10" i="27"/>
  <c r="B18" i="4" s="1"/>
  <c r="B51" i="4" s="1"/>
  <c r="BB62" i="27"/>
  <c r="BA62" i="27"/>
  <c r="BI5" i="27"/>
  <c r="BH5" i="27"/>
  <c r="AS213" i="27"/>
  <c r="AR213" i="27"/>
  <c r="U5" i="27"/>
  <c r="T5" i="27"/>
  <c r="J3" i="27"/>
  <c r="BB81" i="27"/>
  <c r="AR9" i="27"/>
  <c r="I20" i="4"/>
  <c r="I21" i="4"/>
  <c r="I22" i="4"/>
  <c r="I23" i="4"/>
  <c r="I24" i="4"/>
  <c r="I25" i="4"/>
  <c r="I26" i="4"/>
  <c r="I18" i="4"/>
  <c r="I19" i="4"/>
  <c r="BH149" i="27" l="1"/>
  <c r="BI149" i="27" s="1"/>
  <c r="BH129" i="27"/>
  <c r="BA119" i="27"/>
  <c r="BH128" i="27"/>
  <c r="BA118" i="27"/>
  <c r="BA121" i="27" s="1"/>
  <c r="BH54" i="27"/>
  <c r="BH34" i="27"/>
  <c r="BH106" i="27"/>
  <c r="BH107" i="27" s="1"/>
  <c r="BH108" i="27" s="1"/>
  <c r="BH53" i="27"/>
  <c r="BH33" i="27"/>
  <c r="BH73" i="27"/>
  <c r="BH92" i="27"/>
  <c r="BH72" i="27"/>
  <c r="BH91" i="27"/>
  <c r="AR574" i="27"/>
  <c r="AR489" i="27"/>
  <c r="AR508" i="27"/>
  <c r="AR488" i="27"/>
  <c r="AR507" i="27"/>
  <c r="AR451" i="27"/>
  <c r="AR470" i="27"/>
  <c r="AR450" i="27"/>
  <c r="AR469" i="27"/>
  <c r="AR413" i="27"/>
  <c r="AR432" i="27"/>
  <c r="AR412" i="27"/>
  <c r="AR431" i="27"/>
  <c r="AR375" i="27"/>
  <c r="AR394" i="27"/>
  <c r="AR374" i="27"/>
  <c r="AR393" i="27"/>
  <c r="AR337" i="27"/>
  <c r="AR356" i="27"/>
  <c r="AR336" i="27"/>
  <c r="AR355" i="27"/>
  <c r="AR298" i="27"/>
  <c r="AR317" i="27"/>
  <c r="AR299" i="27"/>
  <c r="AR318" i="27"/>
  <c r="AR261" i="27"/>
  <c r="AR280" i="27"/>
  <c r="AR260" i="27"/>
  <c r="AR279" i="27"/>
  <c r="AR640" i="27"/>
  <c r="AR660" i="27"/>
  <c r="AR639" i="27"/>
  <c r="AR659" i="27"/>
  <c r="AR204" i="27"/>
  <c r="AR620" i="27"/>
  <c r="AR203" i="27"/>
  <c r="AR619" i="27"/>
  <c r="AR147" i="27"/>
  <c r="AJ38" i="27"/>
  <c r="AJ58" i="27"/>
  <c r="AR146" i="27"/>
  <c r="AJ57" i="27"/>
  <c r="AJ37" i="27"/>
  <c r="BA15" i="27"/>
  <c r="AB189" i="27"/>
  <c r="BA14" i="27"/>
  <c r="AB188" i="27"/>
  <c r="AB227" i="27"/>
  <c r="AB37" i="27"/>
  <c r="AB226" i="27"/>
  <c r="AB36" i="27"/>
  <c r="AB150" i="27"/>
  <c r="AB169" i="27"/>
  <c r="AB151" i="27"/>
  <c r="AB170" i="27"/>
  <c r="AB113" i="27"/>
  <c r="AB132" i="27"/>
  <c r="AB112" i="27"/>
  <c r="AB131" i="27"/>
  <c r="AB94" i="27"/>
  <c r="AB93" i="27"/>
  <c r="AS175" i="27"/>
  <c r="AS183" i="27" s="1"/>
  <c r="AR185" i="27"/>
  <c r="AR184" i="27"/>
  <c r="AR121" i="27"/>
  <c r="AR124" i="27" s="1"/>
  <c r="AR125" i="27" s="1"/>
  <c r="AS117" i="27"/>
  <c r="AR108" i="27"/>
  <c r="AR128" i="27"/>
  <c r="AR166" i="27"/>
  <c r="AR107" i="27"/>
  <c r="AR165" i="27"/>
  <c r="AR127" i="27"/>
  <c r="AJ233" i="27"/>
  <c r="BA52" i="27"/>
  <c r="BA66" i="27"/>
  <c r="BA47" i="27"/>
  <c r="AJ234" i="27"/>
  <c r="BA53" i="27"/>
  <c r="AR83" i="27"/>
  <c r="AR84" i="27" s="1"/>
  <c r="AJ193" i="27"/>
  <c r="AJ213" i="27"/>
  <c r="AJ194" i="27"/>
  <c r="AJ214" i="27"/>
  <c r="AJ187" i="27"/>
  <c r="AJ188" i="27"/>
  <c r="AJ173" i="27"/>
  <c r="AJ152" i="27"/>
  <c r="AJ133" i="27"/>
  <c r="AJ115" i="27"/>
  <c r="AJ153" i="27"/>
  <c r="AJ134" i="27"/>
  <c r="AJ174" i="27"/>
  <c r="AJ77" i="27"/>
  <c r="AJ114" i="27"/>
  <c r="AR242" i="27"/>
  <c r="AJ78" i="27"/>
  <c r="AR27" i="27"/>
  <c r="AS30" i="27" s="1"/>
  <c r="AR63" i="27"/>
  <c r="AS66" i="27" s="1"/>
  <c r="AR217" i="27"/>
  <c r="T165" i="27"/>
  <c r="AJ95" i="27"/>
  <c r="AJ16" i="27"/>
  <c r="T166" i="27"/>
  <c r="AJ96" i="27"/>
  <c r="AJ17" i="27"/>
  <c r="AB204" i="27"/>
  <c r="AB205" i="27" s="1"/>
  <c r="BH111" i="27"/>
  <c r="AR87" i="27"/>
  <c r="AR546" i="27"/>
  <c r="AR548" i="27" s="1"/>
  <c r="T184" i="27"/>
  <c r="U138" i="27"/>
  <c r="BH11" i="27"/>
  <c r="BH12" i="27" s="1"/>
  <c r="AB208" i="27"/>
  <c r="T147" i="27"/>
  <c r="T146" i="27"/>
  <c r="AB212" i="27"/>
  <c r="AB213" i="27" s="1"/>
  <c r="T151" i="27"/>
  <c r="T153" i="27" s="1"/>
  <c r="BH115" i="27"/>
  <c r="BH116" i="27" s="1"/>
  <c r="T125" i="27"/>
  <c r="BA170" i="27"/>
  <c r="BA171" i="27" s="1"/>
  <c r="T60" i="27"/>
  <c r="T61" i="27" s="1"/>
  <c r="AR54" i="27"/>
  <c r="AR55" i="27" s="1"/>
  <c r="T114" i="27"/>
  <c r="T115" i="27" s="1"/>
  <c r="AS77" i="27"/>
  <c r="AR67" i="27"/>
  <c r="AR49" i="27"/>
  <c r="BA135" i="27"/>
  <c r="BA138" i="27" s="1"/>
  <c r="BA140" i="27" s="1"/>
  <c r="BA95" i="27"/>
  <c r="BA33" i="27"/>
  <c r="T132" i="27"/>
  <c r="T134" i="27" s="1"/>
  <c r="T189" i="27"/>
  <c r="T190" i="27" s="1"/>
  <c r="AR599" i="27"/>
  <c r="AB22" i="27"/>
  <c r="AB23" i="27" s="1"/>
  <c r="AR246" i="27"/>
  <c r="AR247" i="27" s="1"/>
  <c r="AR31" i="27"/>
  <c r="BH110" i="27"/>
  <c r="BA71" i="27"/>
  <c r="T40" i="27"/>
  <c r="AR526" i="27"/>
  <c r="T34" i="27"/>
  <c r="AR241" i="27"/>
  <c r="AR86" i="27"/>
  <c r="BA165" i="27"/>
  <c r="BA142" i="27"/>
  <c r="T55" i="27"/>
  <c r="T109" i="27"/>
  <c r="T13" i="27"/>
  <c r="AB60" i="27"/>
  <c r="AB61" i="27" s="1"/>
  <c r="BH19" i="27"/>
  <c r="BH21" i="27" s="1"/>
  <c r="AR13" i="27"/>
  <c r="AR222" i="27"/>
  <c r="AR18" i="27"/>
  <c r="AR19" i="27" s="1"/>
  <c r="AR72" i="27"/>
  <c r="AR73" i="27" s="1"/>
  <c r="BH14" i="27"/>
  <c r="AR579" i="27"/>
  <c r="AR50" i="27"/>
  <c r="AR223" i="27"/>
  <c r="BA89" i="27"/>
  <c r="AR68" i="27"/>
  <c r="BA143" i="27"/>
  <c r="T110" i="27"/>
  <c r="AR14" i="27"/>
  <c r="BH15" i="27"/>
  <c r="BA88" i="27"/>
  <c r="AR604" i="27"/>
  <c r="AR605" i="27" s="1"/>
  <c r="AR584" i="27"/>
  <c r="AR585" i="27" s="1"/>
  <c r="AR600" i="27"/>
  <c r="AR580" i="27"/>
  <c r="AR527" i="27"/>
  <c r="BA72" i="27"/>
  <c r="T96" i="27"/>
  <c r="T97" i="27" s="1"/>
  <c r="BA96" i="27"/>
  <c r="BA38" i="27"/>
  <c r="BA39" i="27" s="1"/>
  <c r="T14" i="27"/>
  <c r="T35" i="27"/>
  <c r="T78" i="27"/>
  <c r="T79" i="27" s="1"/>
  <c r="T182" i="27"/>
  <c r="AB53" i="27"/>
  <c r="BA34" i="27"/>
  <c r="AR32" i="27"/>
  <c r="BA166" i="27"/>
  <c r="T11" i="27"/>
  <c r="T74" i="27"/>
  <c r="T76" i="27" s="1"/>
  <c r="T185" i="27"/>
  <c r="AR531" i="27"/>
  <c r="AR532" i="27" s="1"/>
  <c r="T92" i="27"/>
  <c r="T94" i="27" s="1"/>
  <c r="AR227" i="27"/>
  <c r="AR228" i="27" s="1"/>
  <c r="T56" i="27"/>
  <c r="T53" i="27"/>
  <c r="AB18" i="27"/>
  <c r="BA28" i="27"/>
  <c r="BA30" i="27" s="1"/>
  <c r="BA31" i="27" s="1"/>
  <c r="AR550" i="27"/>
  <c r="AR551" i="27" s="1"/>
  <c r="T128" i="27"/>
  <c r="AB56" i="27"/>
  <c r="AR91" i="27"/>
  <c r="AR92" i="27" s="1"/>
  <c r="T107" i="27"/>
  <c r="T127" i="27"/>
  <c r="BA147" i="27"/>
  <c r="BA148" i="27" s="1"/>
  <c r="BA100" i="27"/>
  <c r="BA101" i="27" s="1"/>
  <c r="BA76" i="27"/>
  <c r="BA77" i="27" s="1"/>
  <c r="T19" i="27"/>
  <c r="T22" i="27" s="1"/>
  <c r="AR36" i="27"/>
  <c r="AR37" i="27" s="1"/>
  <c r="T71" i="27"/>
  <c r="AB79" i="27"/>
  <c r="AB80" i="27" s="1"/>
  <c r="AB55" i="27"/>
  <c r="AB75" i="27"/>
  <c r="T41" i="27"/>
  <c r="AB74" i="27"/>
  <c r="AB17" i="27"/>
  <c r="BA161" i="27"/>
  <c r="BA163" i="27" s="1"/>
  <c r="T89" i="27"/>
  <c r="AR10" i="27"/>
  <c r="AR11" i="27" s="1"/>
  <c r="AR594" i="27"/>
  <c r="AR595" i="27" s="1"/>
  <c r="BJ105" i="27"/>
  <c r="AB14" i="27"/>
  <c r="AB15" i="27" s="1"/>
  <c r="T31" i="27"/>
  <c r="T32" i="27" s="1"/>
  <c r="AB72" i="27"/>
  <c r="AB207" i="27"/>
  <c r="BH153" i="27" l="1"/>
  <c r="I119" i="27" s="1"/>
  <c r="AJ40" i="27"/>
  <c r="AJ44" i="27" s="1"/>
  <c r="BH131" i="27"/>
  <c r="BI131" i="27" s="1"/>
  <c r="BA125" i="27"/>
  <c r="I108" i="27" s="1"/>
  <c r="J108" i="27" s="1"/>
  <c r="BH56" i="27"/>
  <c r="BI56" i="27" s="1"/>
  <c r="BH36" i="27"/>
  <c r="BH41" i="27" s="1"/>
  <c r="I113" i="27" s="1"/>
  <c r="J113" i="27" s="1"/>
  <c r="BH94" i="27"/>
  <c r="BI94" i="27" s="1"/>
  <c r="BH75" i="27"/>
  <c r="BH79" i="27" s="1"/>
  <c r="I115" i="27" s="1"/>
  <c r="J115" i="27" s="1"/>
  <c r="AR218" i="27"/>
  <c r="AR219" i="27" s="1"/>
  <c r="AR220" i="27" s="1"/>
  <c r="AR491" i="27"/>
  <c r="AS491" i="27" s="1"/>
  <c r="AR472" i="27"/>
  <c r="AS472" i="27" s="1"/>
  <c r="AR510" i="27"/>
  <c r="AS510" i="27" s="1"/>
  <c r="AR415" i="27"/>
  <c r="AS415" i="27" s="1"/>
  <c r="AR453" i="27"/>
  <c r="AS453" i="27" s="1"/>
  <c r="AR377" i="27"/>
  <c r="AS377" i="27" s="1"/>
  <c r="AR434" i="27"/>
  <c r="AS434" i="27" s="1"/>
  <c r="AR358" i="27"/>
  <c r="AR396" i="27"/>
  <c r="AS396" i="27" s="1"/>
  <c r="AR642" i="27"/>
  <c r="AS642" i="27" s="1"/>
  <c r="AR263" i="27"/>
  <c r="AS263" i="27" s="1"/>
  <c r="AR339" i="27"/>
  <c r="AS339" i="27" s="1"/>
  <c r="AR320" i="27"/>
  <c r="AS320" i="27" s="1"/>
  <c r="AR301" i="27"/>
  <c r="AS301" i="27" s="1"/>
  <c r="AR282" i="27"/>
  <c r="AS282" i="27" s="1"/>
  <c r="AR206" i="27"/>
  <c r="AS205" i="27" s="1"/>
  <c r="AR662" i="27"/>
  <c r="AR622" i="27"/>
  <c r="AR149" i="27"/>
  <c r="AS149" i="27" s="1"/>
  <c r="AJ60" i="27"/>
  <c r="AJ64" i="27" s="1"/>
  <c r="AJ236" i="27"/>
  <c r="AJ240" i="27" s="1"/>
  <c r="I57" i="27" s="1"/>
  <c r="J57" i="27" s="1"/>
  <c r="BA17" i="27"/>
  <c r="BB17" i="27" s="1"/>
  <c r="AB191" i="27"/>
  <c r="AB195" i="27" s="1"/>
  <c r="I37" i="27" s="1"/>
  <c r="BA48" i="27"/>
  <c r="AB229" i="27"/>
  <c r="AB233" i="27" s="1"/>
  <c r="AB39" i="27"/>
  <c r="AB134" i="27"/>
  <c r="AB138" i="27" s="1"/>
  <c r="I34" i="27" s="1"/>
  <c r="AB172" i="27"/>
  <c r="AB176" i="27" s="1"/>
  <c r="AB153" i="27"/>
  <c r="AB115" i="27"/>
  <c r="AC115" i="27" s="1"/>
  <c r="AB96" i="27"/>
  <c r="AR130" i="27"/>
  <c r="AR134" i="27" s="1"/>
  <c r="I67" i="27" s="1"/>
  <c r="AR110" i="27"/>
  <c r="AR114" i="27" s="1"/>
  <c r="I66" i="27" s="1"/>
  <c r="AR187" i="27"/>
  <c r="AS187" i="27" s="1"/>
  <c r="AR168" i="27"/>
  <c r="AS96" i="27"/>
  <c r="BA55" i="27"/>
  <c r="BA67" i="27"/>
  <c r="BA68" i="27" s="1"/>
  <c r="BA69" i="27" s="1"/>
  <c r="AR602" i="27"/>
  <c r="AJ117" i="27"/>
  <c r="AJ121" i="27" s="1"/>
  <c r="I47" i="27" s="1"/>
  <c r="J47" i="27" s="1"/>
  <c r="AR28" i="27"/>
  <c r="AR29" i="27" s="1"/>
  <c r="T168" i="27"/>
  <c r="T173" i="27" s="1"/>
  <c r="I22" i="27" s="1"/>
  <c r="J22" i="27" s="1"/>
  <c r="AJ196" i="27"/>
  <c r="AJ216" i="27"/>
  <c r="AJ220" i="27" s="1"/>
  <c r="AJ190" i="27"/>
  <c r="AJ191" i="27" s="1"/>
  <c r="AJ200" i="27" s="1"/>
  <c r="I55" i="27" s="1"/>
  <c r="J55" i="27" s="1"/>
  <c r="AJ136" i="27"/>
  <c r="AJ176" i="27"/>
  <c r="AJ155" i="27"/>
  <c r="AR244" i="27"/>
  <c r="AJ80" i="27"/>
  <c r="AJ84" i="27" s="1"/>
  <c r="I44" i="27" s="1"/>
  <c r="J44" i="27" s="1"/>
  <c r="AR236" i="27"/>
  <c r="AR45" i="27"/>
  <c r="AR46" i="27" s="1"/>
  <c r="AR47" i="27" s="1"/>
  <c r="AJ91" i="27"/>
  <c r="AJ19" i="27"/>
  <c r="AJ23" i="27" s="1"/>
  <c r="AJ98" i="27"/>
  <c r="AB210" i="27"/>
  <c r="AR582" i="27"/>
  <c r="BH113" i="27"/>
  <c r="T187" i="27"/>
  <c r="T191" i="27" s="1"/>
  <c r="I24" i="27" s="1"/>
  <c r="J24" i="27" s="1"/>
  <c r="K23" i="27" s="1"/>
  <c r="T43" i="27"/>
  <c r="AR89" i="27"/>
  <c r="AR93" i="27" s="1"/>
  <c r="BA74" i="27"/>
  <c r="T149" i="27"/>
  <c r="T154" i="27" s="1"/>
  <c r="I21" i="27" s="1"/>
  <c r="AB58" i="27"/>
  <c r="AB62" i="27" s="1"/>
  <c r="T16" i="27"/>
  <c r="T23" i="27" s="1"/>
  <c r="I13" i="27" s="1"/>
  <c r="J13" i="27" s="1"/>
  <c r="BA168" i="27"/>
  <c r="AR225" i="27"/>
  <c r="BA98" i="27"/>
  <c r="AR64" i="27"/>
  <c r="AR65" i="27" s="1"/>
  <c r="AR52" i="27"/>
  <c r="AR34" i="27"/>
  <c r="AR16" i="27"/>
  <c r="AR20" i="27" s="1"/>
  <c r="I59" i="27" s="1"/>
  <c r="J59" i="27" s="1"/>
  <c r="BA36" i="27"/>
  <c r="BA40" i="27" s="1"/>
  <c r="I103" i="27" s="1"/>
  <c r="J103" i="27" s="1"/>
  <c r="AR552" i="27"/>
  <c r="I93" i="27" s="1"/>
  <c r="J93" i="27" s="1"/>
  <c r="BA91" i="27"/>
  <c r="BA93" i="27" s="1"/>
  <c r="T37" i="27"/>
  <c r="AR575" i="27"/>
  <c r="AR577" i="27" s="1"/>
  <c r="AR70" i="27"/>
  <c r="AR529" i="27"/>
  <c r="AR533" i="27" s="1"/>
  <c r="I92" i="27" s="1"/>
  <c r="J92" i="27" s="1"/>
  <c r="T112" i="27"/>
  <c r="T116" i="27" s="1"/>
  <c r="I19" i="27" s="1"/>
  <c r="J19" i="27" s="1"/>
  <c r="BA145" i="27"/>
  <c r="BH17" i="27"/>
  <c r="BH22" i="27" s="1"/>
  <c r="I112" i="27" s="1"/>
  <c r="J112" i="27" s="1"/>
  <c r="T58" i="27"/>
  <c r="T62" i="27" s="1"/>
  <c r="I16" i="27" s="1"/>
  <c r="J16" i="27" s="1"/>
  <c r="T98" i="27"/>
  <c r="I18" i="27" s="1"/>
  <c r="J18" i="27" s="1"/>
  <c r="AB20" i="27"/>
  <c r="AB24" i="27" s="1"/>
  <c r="I27" i="27" s="1"/>
  <c r="J27" i="27" s="1"/>
  <c r="T130" i="27"/>
  <c r="T135" i="27" s="1"/>
  <c r="AB77" i="27"/>
  <c r="T80" i="27"/>
  <c r="I17" i="27" s="1"/>
  <c r="J17" i="27" s="1"/>
  <c r="AR597" i="27"/>
  <c r="AR476" i="27" l="1"/>
  <c r="I86" i="27" s="1"/>
  <c r="BH135" i="27"/>
  <c r="BH60" i="27"/>
  <c r="I114" i="27" s="1"/>
  <c r="J114" i="27" s="1"/>
  <c r="I118" i="27"/>
  <c r="J118" i="27" s="1"/>
  <c r="J119" i="27"/>
  <c r="BH98" i="27"/>
  <c r="I116" i="27" s="1"/>
  <c r="J116" i="27" s="1"/>
  <c r="BI75" i="27"/>
  <c r="BH117" i="27"/>
  <c r="I117" i="27" s="1"/>
  <c r="J117" i="27" s="1"/>
  <c r="BI113" i="27"/>
  <c r="AT577" i="27"/>
  <c r="AR495" i="27"/>
  <c r="I87" i="27" s="1"/>
  <c r="J87" i="27" s="1"/>
  <c r="AR362" i="27"/>
  <c r="I80" i="27" s="1"/>
  <c r="J80" i="27" s="1"/>
  <c r="AS358" i="27"/>
  <c r="AR237" i="27"/>
  <c r="AR238" i="27" s="1"/>
  <c r="AR239" i="27" s="1"/>
  <c r="AR229" i="27"/>
  <c r="I73" i="27" s="1"/>
  <c r="J73" i="27" s="1"/>
  <c r="AS225" i="27"/>
  <c r="AR419" i="27"/>
  <c r="I83" i="27" s="1"/>
  <c r="J83" i="27" s="1"/>
  <c r="J86" i="27"/>
  <c r="AR457" i="27"/>
  <c r="I85" i="27" s="1"/>
  <c r="J85" i="27" s="1"/>
  <c r="AR438" i="27"/>
  <c r="I84" i="27" s="1"/>
  <c r="J84" i="27" s="1"/>
  <c r="AR514" i="27"/>
  <c r="I88" i="27" s="1"/>
  <c r="J88" i="27" s="1"/>
  <c r="AR267" i="27"/>
  <c r="I75" i="27" s="1"/>
  <c r="J75" i="27" s="1"/>
  <c r="AR381" i="27"/>
  <c r="I81" i="27" s="1"/>
  <c r="J81" i="27" s="1"/>
  <c r="AR400" i="27"/>
  <c r="I82" i="27" s="1"/>
  <c r="J82" i="27" s="1"/>
  <c r="AR646" i="27"/>
  <c r="I98" i="27" s="1"/>
  <c r="J98" i="27" s="1"/>
  <c r="AR343" i="27"/>
  <c r="I79" i="27" s="1"/>
  <c r="J79" i="27" s="1"/>
  <c r="AR305" i="27"/>
  <c r="I77" i="27" s="1"/>
  <c r="J77" i="27" s="1"/>
  <c r="AR324" i="27"/>
  <c r="I78" i="27" s="1"/>
  <c r="J78" i="27" s="1"/>
  <c r="AR286" i="27"/>
  <c r="I76" i="27" s="1"/>
  <c r="J76" i="27" s="1"/>
  <c r="AS206" i="27"/>
  <c r="AR210" i="27"/>
  <c r="I71" i="27" s="1"/>
  <c r="AS662" i="27"/>
  <c r="AR666" i="27"/>
  <c r="I99" i="27" s="1"/>
  <c r="J99" i="27" s="1"/>
  <c r="AR153" i="27"/>
  <c r="I68" i="27" s="1"/>
  <c r="J68" i="27" s="1"/>
  <c r="AS622" i="27"/>
  <c r="AR626" i="27"/>
  <c r="I97" i="27" s="1"/>
  <c r="J97" i="27" s="1"/>
  <c r="AT582" i="27"/>
  <c r="I41" i="27"/>
  <c r="J41" i="27" s="1"/>
  <c r="I42" i="27"/>
  <c r="J42" i="27" s="1"/>
  <c r="AC191" i="27"/>
  <c r="BA21" i="27"/>
  <c r="I101" i="27" s="1"/>
  <c r="J101" i="27" s="1"/>
  <c r="K100" i="27" s="1"/>
  <c r="J67" i="27"/>
  <c r="AC134" i="27"/>
  <c r="I35" i="27"/>
  <c r="J37" i="27"/>
  <c r="AB43" i="27"/>
  <c r="I29" i="27" s="1"/>
  <c r="J29" i="27" s="1"/>
  <c r="AC172" i="27"/>
  <c r="AB119" i="27"/>
  <c r="I33" i="27" s="1"/>
  <c r="AC58" i="27"/>
  <c r="AB214" i="27"/>
  <c r="I38" i="27" s="1"/>
  <c r="J38" i="27" s="1"/>
  <c r="AC210" i="27"/>
  <c r="AC153" i="27"/>
  <c r="AB157" i="27"/>
  <c r="I36" i="27" s="1"/>
  <c r="J36" i="27" s="1"/>
  <c r="AC96" i="27"/>
  <c r="AB100" i="27"/>
  <c r="I32" i="27" s="1"/>
  <c r="J32" i="27" s="1"/>
  <c r="AB81" i="27"/>
  <c r="J34" i="27" s="1"/>
  <c r="AC77" i="27"/>
  <c r="AR191" i="27"/>
  <c r="I65" i="27"/>
  <c r="J65" i="27" s="1"/>
  <c r="J66" i="27"/>
  <c r="AS168" i="27"/>
  <c r="AR172" i="27"/>
  <c r="BA78" i="27"/>
  <c r="I105" i="27" s="1"/>
  <c r="J105" i="27" s="1"/>
  <c r="BA49" i="27"/>
  <c r="BA50" i="27" s="1"/>
  <c r="BA59" i="27" s="1"/>
  <c r="I104" i="27" s="1"/>
  <c r="J104" i="27" s="1"/>
  <c r="AR38" i="27"/>
  <c r="I60" i="27" s="1"/>
  <c r="J60" i="27" s="1"/>
  <c r="K58" i="27" s="1"/>
  <c r="AR586" i="27"/>
  <c r="I94" i="27" s="1"/>
  <c r="J94" i="27" s="1"/>
  <c r="I56" i="27"/>
  <c r="J56" i="27" s="1"/>
  <c r="K54" i="27" s="1"/>
  <c r="AR56" i="27"/>
  <c r="I62" i="27" s="1"/>
  <c r="J62" i="27" s="1"/>
  <c r="AS48" i="27"/>
  <c r="AJ148" i="27"/>
  <c r="AJ149" i="27" s="1"/>
  <c r="AJ150" i="27" s="1"/>
  <c r="AJ159" i="27" s="1"/>
  <c r="I50" i="27" s="1"/>
  <c r="J50" i="27" s="1"/>
  <c r="AJ129" i="27"/>
  <c r="AK94" i="27"/>
  <c r="I30" i="27"/>
  <c r="J30" i="27" s="1"/>
  <c r="T44" i="27"/>
  <c r="I14" i="27" s="1"/>
  <c r="J14" i="27" s="1"/>
  <c r="BA172" i="27"/>
  <c r="I110" i="27" s="1"/>
  <c r="J110" i="27" s="1"/>
  <c r="AR74" i="27"/>
  <c r="I63" i="27" s="1"/>
  <c r="J63" i="27" s="1"/>
  <c r="BA102" i="27"/>
  <c r="I107" i="27" s="1"/>
  <c r="J107" i="27" s="1"/>
  <c r="AS582" i="27"/>
  <c r="BA149" i="27"/>
  <c r="I109" i="27" s="1"/>
  <c r="J109" i="27" s="1"/>
  <c r="AS533" i="27"/>
  <c r="I20" i="27"/>
  <c r="J20" i="27" s="1"/>
  <c r="J21" i="27"/>
  <c r="AS602" i="27"/>
  <c r="AR606" i="27"/>
  <c r="I96" i="27" s="1"/>
  <c r="J96" i="27" s="1"/>
  <c r="K111" i="27" l="1"/>
  <c r="AS244" i="27"/>
  <c r="AR248" i="27"/>
  <c r="I74" i="27" s="1"/>
  <c r="J74" i="27" s="1"/>
  <c r="K72" i="27" s="1"/>
  <c r="J71" i="27"/>
  <c r="I43" i="27"/>
  <c r="J43" i="27" s="1"/>
  <c r="I39" i="27"/>
  <c r="J39" i="27" s="1"/>
  <c r="BB55" i="27"/>
  <c r="I31" i="27"/>
  <c r="J31" i="27" s="1"/>
  <c r="J35" i="27"/>
  <c r="J33" i="27"/>
  <c r="I70" i="27"/>
  <c r="J70" i="27" s="1"/>
  <c r="K102" i="27"/>
  <c r="K61" i="27"/>
  <c r="AJ92" i="27"/>
  <c r="AJ93" i="27" s="1"/>
  <c r="AJ102" i="27" s="1"/>
  <c r="I46" i="27" s="1"/>
  <c r="J46" i="27" s="1"/>
  <c r="K45" i="27" s="1"/>
  <c r="AJ130" i="27"/>
  <c r="AJ131" i="27" s="1"/>
  <c r="AJ140" i="27" s="1"/>
  <c r="AJ170" i="27"/>
  <c r="AJ171" i="27" s="1"/>
  <c r="AJ180" i="27" s="1"/>
  <c r="I53" i="27" s="1"/>
  <c r="J53" i="27" s="1"/>
  <c r="K52" i="27" s="1"/>
  <c r="I69" i="27"/>
  <c r="J69" i="27" s="1"/>
  <c r="K15" i="27"/>
  <c r="K106" i="27"/>
  <c r="K90" i="27"/>
  <c r="K40" i="27" l="1"/>
  <c r="K25" i="27"/>
  <c r="K12" i="27"/>
  <c r="K64" i="27"/>
  <c r="I51" i="27"/>
  <c r="J51" i="27" s="1"/>
  <c r="I49" i="27"/>
  <c r="J49" i="27" s="1"/>
  <c r="K48" i="27" l="1"/>
  <c r="K120" i="27" s="1"/>
  <c r="L110" i="27" l="1"/>
  <c r="M110" i="27" s="1"/>
  <c r="L116" i="27"/>
  <c r="M116" i="27" s="1"/>
  <c r="L29" i="27"/>
  <c r="M29" i="27" s="1"/>
  <c r="L113" i="27"/>
  <c r="M113" i="27" s="1"/>
  <c r="L117" i="27"/>
  <c r="M117" i="27" s="1"/>
  <c r="L108" i="27"/>
  <c r="M108" i="27" s="1"/>
  <c r="L114" i="27"/>
  <c r="M114" i="27" s="1"/>
  <c r="L118" i="27"/>
  <c r="M118" i="27" s="1"/>
  <c r="L109" i="27"/>
  <c r="M109" i="27" s="1"/>
  <c r="L115" i="27"/>
  <c r="M115" i="27" s="1"/>
  <c r="L119" i="27"/>
  <c r="M119" i="27" s="1"/>
  <c r="L66" i="27"/>
  <c r="M66" i="27" s="1"/>
  <c r="L70" i="27"/>
  <c r="M70" i="27" s="1"/>
  <c r="L67" i="27"/>
  <c r="M67" i="27" s="1"/>
  <c r="L71" i="27"/>
  <c r="M71" i="27" s="1"/>
  <c r="L68" i="27"/>
  <c r="M68" i="27" s="1"/>
  <c r="L65" i="27"/>
  <c r="M65" i="27" s="1"/>
  <c r="L69" i="27"/>
  <c r="M69" i="27" s="1"/>
  <c r="L42" i="27"/>
  <c r="M42" i="27" s="1"/>
  <c r="L98" i="27"/>
  <c r="M98" i="27" s="1"/>
  <c r="L97" i="27"/>
  <c r="M97" i="27" s="1"/>
  <c r="L99" i="27"/>
  <c r="M99" i="27" s="1"/>
  <c r="L36" i="27"/>
  <c r="M36" i="27" s="1"/>
  <c r="L43" i="27"/>
  <c r="M43" i="27" s="1"/>
  <c r="L38" i="27"/>
  <c r="M38" i="27" s="1"/>
  <c r="L37" i="27"/>
  <c r="M37" i="27" s="1"/>
  <c r="L33" i="27"/>
  <c r="M33" i="27" s="1"/>
  <c r="L35" i="27"/>
  <c r="M35" i="27" s="1"/>
  <c r="L34" i="27"/>
  <c r="M34" i="27" s="1"/>
  <c r="L32" i="27"/>
  <c r="M32" i="27" s="1"/>
  <c r="L22" i="27"/>
  <c r="M22" i="27" s="1"/>
  <c r="L104" i="27"/>
  <c r="M104" i="27" s="1"/>
  <c r="L40" i="27"/>
  <c r="L51" i="27"/>
  <c r="M51" i="27" s="1"/>
  <c r="L16" i="27"/>
  <c r="M16" i="27" s="1"/>
  <c r="L13" i="27"/>
  <c r="M13" i="27" s="1"/>
  <c r="L44" i="27"/>
  <c r="M44" i="27" s="1"/>
  <c r="L96" i="27"/>
  <c r="M96" i="27" s="1"/>
  <c r="L17" i="27"/>
  <c r="M17" i="27" s="1"/>
  <c r="L103" i="27"/>
  <c r="M103" i="27" s="1"/>
  <c r="L46" i="27"/>
  <c r="M46" i="27" s="1"/>
  <c r="L105" i="27"/>
  <c r="M105" i="27" s="1"/>
  <c r="L74" i="27"/>
  <c r="M74" i="27" s="1"/>
  <c r="L50" i="27"/>
  <c r="M50" i="27" s="1"/>
  <c r="L112" i="27"/>
  <c r="M112" i="27" s="1"/>
  <c r="L59" i="27"/>
  <c r="M59" i="27" s="1"/>
  <c r="L14" i="27"/>
  <c r="M14" i="27" s="1"/>
  <c r="L61" i="27"/>
  <c r="L77" i="27"/>
  <c r="M77" i="27" s="1"/>
  <c r="L57" i="27"/>
  <c r="M57" i="27" s="1"/>
  <c r="L54" i="27"/>
  <c r="L23" i="27"/>
  <c r="L64" i="27"/>
  <c r="L81" i="27"/>
  <c r="M81" i="27" s="1"/>
  <c r="L27" i="27"/>
  <c r="M27" i="27" s="1"/>
  <c r="L25" i="27"/>
  <c r="L106" i="27"/>
  <c r="L53" i="27"/>
  <c r="M53" i="27" s="1"/>
  <c r="L55" i="27"/>
  <c r="M55" i="27" s="1"/>
  <c r="L72" i="27"/>
  <c r="L76" i="27"/>
  <c r="M76" i="27" s="1"/>
  <c r="L20" i="27"/>
  <c r="M20" i="27" s="1"/>
  <c r="L41" i="27"/>
  <c r="M41" i="27" s="1"/>
  <c r="L49" i="27"/>
  <c r="M49" i="27" s="1"/>
  <c r="L92" i="27"/>
  <c r="M92" i="27" s="1"/>
  <c r="L88" i="27"/>
  <c r="M88" i="27" s="1"/>
  <c r="L93" i="27"/>
  <c r="M93" i="27" s="1"/>
  <c r="L86" i="27"/>
  <c r="M86" i="27" s="1"/>
  <c r="L62" i="27"/>
  <c r="M62" i="27" s="1"/>
  <c r="L84" i="27"/>
  <c r="M84" i="27" s="1"/>
  <c r="K122" i="27"/>
  <c r="L60" i="27"/>
  <c r="M60" i="27" s="1"/>
  <c r="L19" i="27"/>
  <c r="M19" i="27" s="1"/>
  <c r="L101" i="27"/>
  <c r="M101" i="27" s="1"/>
  <c r="L75" i="27"/>
  <c r="M75" i="27" s="1"/>
  <c r="L94" i="27"/>
  <c r="M94" i="27" s="1"/>
  <c r="L80" i="27"/>
  <c r="M80" i="27" s="1"/>
  <c r="L48" i="27"/>
  <c r="L56" i="27"/>
  <c r="M56" i="27" s="1"/>
  <c r="L102" i="27"/>
  <c r="L83" i="27"/>
  <c r="M83" i="27" s="1"/>
  <c r="L111" i="27"/>
  <c r="L15" i="27"/>
  <c r="L79" i="27"/>
  <c r="M79" i="27" s="1"/>
  <c r="L52" i="27"/>
  <c r="L18" i="27"/>
  <c r="M18" i="27" s="1"/>
  <c r="L45" i="27"/>
  <c r="L12" i="27"/>
  <c r="L24" i="27"/>
  <c r="M24" i="27" s="1"/>
  <c r="L30" i="27"/>
  <c r="M30" i="27" s="1"/>
  <c r="L39" i="27"/>
  <c r="M39" i="27" s="1"/>
  <c r="L21" i="27"/>
  <c r="M21" i="27" s="1"/>
  <c r="L58" i="27"/>
  <c r="L82" i="27"/>
  <c r="M82" i="27" s="1"/>
  <c r="L107" i="27"/>
  <c r="M107" i="27" s="1"/>
  <c r="L100" i="27"/>
  <c r="L73" i="27"/>
  <c r="M73" i="27" s="1"/>
  <c r="L87" i="27"/>
  <c r="M87" i="27" s="1"/>
  <c r="L31" i="27"/>
  <c r="M31" i="27" s="1"/>
  <c r="L47" i="27"/>
  <c r="M47" i="27" s="1"/>
  <c r="L85" i="27"/>
  <c r="M85" i="27" s="1"/>
  <c r="L78" i="27"/>
  <c r="M78" i="27" s="1"/>
  <c r="L90" i="27"/>
  <c r="L63" i="27"/>
  <c r="M63" i="27" s="1"/>
  <c r="K123" i="27" l="1"/>
  <c r="K124" i="27" s="1"/>
  <c r="K125" i="27" s="1"/>
  <c r="K126" i="27" s="1"/>
  <c r="K127" i="27" s="1"/>
  <c r="K128" i="27" s="1"/>
  <c r="M120" i="27"/>
  <c r="L120" i="27"/>
  <c r="M128" i="27" l="1"/>
  <c r="BP2" i="27" s="1"/>
  <c r="BN33" i="27"/>
  <c r="A38" i="4"/>
  <c r="BN12" i="27" l="1"/>
  <c r="D20" i="4" s="1"/>
  <c r="D53" i="4" s="1"/>
  <c r="BN20" i="27"/>
  <c r="D28" i="4" s="1"/>
  <c r="D61" i="4" s="1"/>
  <c r="BN10" i="27"/>
  <c r="BN23" i="27"/>
  <c r="D31" i="4" s="1"/>
  <c r="D64" i="4" s="1"/>
  <c r="BN14" i="27"/>
  <c r="D22" i="4" s="1"/>
  <c r="D55" i="4" s="1"/>
  <c r="BN17" i="27"/>
  <c r="D25" i="4" s="1"/>
  <c r="D58" i="4" s="1"/>
  <c r="BN15" i="27"/>
  <c r="D23" i="4" s="1"/>
  <c r="D56" i="4" s="1"/>
  <c r="BN19" i="27"/>
  <c r="D27" i="4" s="1"/>
  <c r="D60" i="4" s="1"/>
  <c r="BN18" i="27"/>
  <c r="D26" i="4" s="1"/>
  <c r="D59" i="4" s="1"/>
  <c r="BN22" i="27"/>
  <c r="D30" i="4" s="1"/>
  <c r="D63" i="4" s="1"/>
  <c r="BN21" i="27"/>
  <c r="D29" i="4" s="1"/>
  <c r="D62" i="4" s="1"/>
  <c r="BN11" i="27"/>
  <c r="D19" i="4" s="1"/>
  <c r="D52" i="4" s="1"/>
  <c r="BN25" i="27"/>
  <c r="D33" i="4" s="1"/>
  <c r="D66" i="4" s="1"/>
  <c r="BN13" i="27"/>
  <c r="D21" i="4" s="1"/>
  <c r="D54" i="4" s="1"/>
  <c r="BN24" i="27"/>
  <c r="D32" i="4" s="1"/>
  <c r="D65" i="4" s="1"/>
  <c r="BN26" i="27"/>
  <c r="D34" i="4" s="1"/>
  <c r="D67" i="4" s="1"/>
  <c r="BN27" i="27"/>
  <c r="D35" i="4" s="1"/>
  <c r="D68" i="4" s="1"/>
  <c r="BN16" i="27"/>
  <c r="D24" i="4" s="1"/>
  <c r="D57" i="4" s="1"/>
  <c r="D18" i="4" l="1"/>
  <c r="BN30" i="27"/>
  <c r="BO11" i="27" l="1"/>
  <c r="E19" i="4" s="1"/>
  <c r="E52" i="4" s="1"/>
  <c r="BN34" i="27"/>
  <c r="BO10" i="27"/>
  <c r="BO23" i="27"/>
  <c r="E31" i="4" s="1"/>
  <c r="E64" i="4" s="1"/>
  <c r="BO12" i="27"/>
  <c r="E20" i="4" s="1"/>
  <c r="E53" i="4" s="1"/>
  <c r="BO13" i="27"/>
  <c r="E21" i="4" s="1"/>
  <c r="E54" i="4" s="1"/>
  <c r="BO20" i="27"/>
  <c r="E28" i="4" s="1"/>
  <c r="E61" i="4" s="1"/>
  <c r="BO21" i="27"/>
  <c r="E29" i="4" s="1"/>
  <c r="E62" i="4" s="1"/>
  <c r="BO15" i="27"/>
  <c r="E23" i="4" s="1"/>
  <c r="E56" i="4" s="1"/>
  <c r="BO27" i="27"/>
  <c r="E35" i="4" s="1"/>
  <c r="E68" i="4" s="1"/>
  <c r="BO14" i="27"/>
  <c r="E22" i="4" s="1"/>
  <c r="E55" i="4" s="1"/>
  <c r="BO24" i="27"/>
  <c r="E32" i="4" s="1"/>
  <c r="E65" i="4" s="1"/>
  <c r="BO25" i="27"/>
  <c r="E33" i="4" s="1"/>
  <c r="E66" i="4" s="1"/>
  <c r="BO26" i="27"/>
  <c r="E34" i="4" s="1"/>
  <c r="E67" i="4" s="1"/>
  <c r="BO17" i="27"/>
  <c r="E25" i="4" s="1"/>
  <c r="E58" i="4" s="1"/>
  <c r="BO22" i="27"/>
  <c r="E30" i="4" s="1"/>
  <c r="E63" i="4" s="1"/>
  <c r="BO18" i="27"/>
  <c r="E26" i="4" s="1"/>
  <c r="E59" i="4" s="1"/>
  <c r="D51" i="4"/>
  <c r="D73" i="4" s="1"/>
  <c r="D38" i="4"/>
  <c r="BO19" i="27"/>
  <c r="E27" i="4" s="1"/>
  <c r="E60" i="4" s="1"/>
  <c r="BO16" i="27"/>
  <c r="E24" i="4" s="1"/>
  <c r="E57" i="4" s="1"/>
  <c r="F57" i="4" l="1"/>
  <c r="I57" i="4" s="1"/>
  <c r="G57" i="4"/>
  <c r="H57" i="4"/>
  <c r="F60" i="4"/>
  <c r="G60" i="4"/>
  <c r="H60" i="4"/>
  <c r="I60" i="4"/>
  <c r="G61" i="4"/>
  <c r="H61" i="4"/>
  <c r="F61" i="4"/>
  <c r="I61" i="4" s="1"/>
  <c r="F64" i="4"/>
  <c r="G64" i="4"/>
  <c r="H64" i="4"/>
  <c r="F68" i="4"/>
  <c r="G68" i="4"/>
  <c r="H68" i="4"/>
  <c r="F62" i="4"/>
  <c r="G62" i="4"/>
  <c r="H62" i="4"/>
  <c r="G59" i="4"/>
  <c r="H59" i="4"/>
  <c r="F59" i="4"/>
  <c r="E18" i="4"/>
  <c r="BO30" i="27"/>
  <c r="BO33" i="27" s="1"/>
  <c r="G55" i="4"/>
  <c r="H55" i="4"/>
  <c r="F55" i="4"/>
  <c r="I55" i="4" s="1"/>
  <c r="F54" i="4"/>
  <c r="G54" i="4"/>
  <c r="H54" i="4"/>
  <c r="G63" i="4"/>
  <c r="H63" i="4"/>
  <c r="F63" i="4"/>
  <c r="G67" i="4"/>
  <c r="H67" i="4"/>
  <c r="F67" i="4"/>
  <c r="F65" i="4"/>
  <c r="G65" i="4"/>
  <c r="H65" i="4"/>
  <c r="F56" i="4"/>
  <c r="G56" i="4"/>
  <c r="H56" i="4"/>
  <c r="F53" i="4"/>
  <c r="G53" i="4"/>
  <c r="H53" i="4"/>
  <c r="F58" i="4"/>
  <c r="G58" i="4"/>
  <c r="H58" i="4"/>
  <c r="F66" i="4"/>
  <c r="G66" i="4"/>
  <c r="H66" i="4"/>
  <c r="I66" i="4" s="1"/>
  <c r="F52" i="4"/>
  <c r="G52" i="4"/>
  <c r="H52" i="4"/>
  <c r="I64" i="4" l="1"/>
  <c r="I63" i="4"/>
  <c r="I59" i="4"/>
  <c r="I53" i="4"/>
  <c r="I67" i="4"/>
  <c r="I56" i="4"/>
  <c r="I65" i="4"/>
  <c r="I54" i="4"/>
  <c r="I62" i="4"/>
  <c r="I58" i="4"/>
  <c r="I52" i="4"/>
  <c r="I68" i="4"/>
  <c r="E51" i="4"/>
  <c r="E38" i="4"/>
  <c r="G51" i="4" l="1"/>
  <c r="G74" i="4" s="1"/>
  <c r="H51" i="4"/>
  <c r="H74" i="4" s="1"/>
  <c r="E73" i="4"/>
  <c r="F51" i="4"/>
  <c r="F74" i="4" s="1"/>
  <c r="I51" i="4" l="1"/>
  <c r="H76" i="4"/>
  <c r="I74" i="4"/>
  <c r="F76" i="4"/>
  <c r="F77" i="4" s="1"/>
  <c r="F82" i="4" s="1"/>
  <c r="F75" i="4"/>
  <c r="F81" i="4" s="1"/>
  <c r="G76" i="4"/>
  <c r="G75" i="4" l="1"/>
  <c r="G81" i="4" s="1"/>
  <c r="G77" i="4"/>
  <c r="G82" i="4" s="1"/>
  <c r="H75" i="4"/>
  <c r="H81" i="4" s="1"/>
  <c r="H77" i="4"/>
  <c r="I77" i="4" l="1"/>
  <c r="H82" i="4"/>
</calcChain>
</file>

<file path=xl/sharedStrings.xml><?xml version="1.0" encoding="utf-8"?>
<sst xmlns="http://schemas.openxmlformats.org/spreadsheetml/2006/main" count="2708" uniqueCount="445">
  <si>
    <t>ITEM</t>
  </si>
  <si>
    <t>PRECIO</t>
  </si>
  <si>
    <t>TOTAL</t>
  </si>
  <si>
    <t>1.1</t>
  </si>
  <si>
    <t>ml</t>
  </si>
  <si>
    <t>2.1</t>
  </si>
  <si>
    <t>m2</t>
  </si>
  <si>
    <t>3.1</t>
  </si>
  <si>
    <t>5.1</t>
  </si>
  <si>
    <t>6.1</t>
  </si>
  <si>
    <t>8.1</t>
  </si>
  <si>
    <t>Gl</t>
  </si>
  <si>
    <t>9.1</t>
  </si>
  <si>
    <t>10.1</t>
  </si>
  <si>
    <t xml:space="preserve">COSTO-COSTO </t>
  </si>
  <si>
    <t>m3</t>
  </si>
  <si>
    <t>1.2</t>
  </si>
  <si>
    <t>ML</t>
  </si>
  <si>
    <t>2.2</t>
  </si>
  <si>
    <t xml:space="preserve">% </t>
  </si>
  <si>
    <t>Un</t>
  </si>
  <si>
    <t>5.2</t>
  </si>
  <si>
    <t>9.2</t>
  </si>
  <si>
    <t>10.2</t>
  </si>
  <si>
    <t>4.1</t>
  </si>
  <si>
    <t>4.2</t>
  </si>
  <si>
    <t>7.1</t>
  </si>
  <si>
    <t>9.3</t>
  </si>
  <si>
    <t>gl</t>
  </si>
  <si>
    <t>COMPUTO Y PRESUPUESTO</t>
  </si>
  <si>
    <t>EMPRESA: I.L.A.G. CONSTRUCCIONES</t>
  </si>
  <si>
    <t>DESCRIPCION</t>
  </si>
  <si>
    <t>UNIDAD</t>
  </si>
  <si>
    <t>CANTIDAD</t>
  </si>
  <si>
    <t>Subtotal</t>
  </si>
  <si>
    <t>UN</t>
  </si>
  <si>
    <t>RUBRO</t>
  </si>
  <si>
    <t>Materiales:</t>
  </si>
  <si>
    <t>Cemento</t>
  </si>
  <si>
    <t>Kg</t>
  </si>
  <si>
    <t>Nº DE</t>
  </si>
  <si>
    <t>DESIGNACION DE LA OBRA</t>
  </si>
  <si>
    <t>PRECIO TOTAL</t>
  </si>
  <si>
    <t>INCIDENCIA</t>
  </si>
  <si>
    <t>kg</t>
  </si>
  <si>
    <t>Arena</t>
  </si>
  <si>
    <t>M3</t>
  </si>
  <si>
    <t>ITEMS</t>
  </si>
  <si>
    <t>% TOTAL</t>
  </si>
  <si>
    <t>un</t>
  </si>
  <si>
    <t>Varios, carga, descarga y desperdicio</t>
  </si>
  <si>
    <t xml:space="preserve">SUBTOTAL MATERIALES - A - </t>
  </si>
  <si>
    <t>M2</t>
  </si>
  <si>
    <t>Mano de Obra:</t>
  </si>
  <si>
    <t>Oficial</t>
  </si>
  <si>
    <t>hs</t>
  </si>
  <si>
    <t>Ayudante</t>
  </si>
  <si>
    <t>SUBTOTAL MANO DE OBRA - B -</t>
  </si>
  <si>
    <t>Equipos:</t>
  </si>
  <si>
    <t xml:space="preserve">FLETE </t>
  </si>
  <si>
    <t>KG</t>
  </si>
  <si>
    <t>Equipos - Hormigonera</t>
  </si>
  <si>
    <t>SUBTOTAL  EQUIPOS - C -</t>
  </si>
  <si>
    <t>COSTO NETO TOTAL - D -</t>
  </si>
  <si>
    <t>(A+B+C)</t>
  </si>
  <si>
    <t>Varios de conexionado</t>
  </si>
  <si>
    <t>GL</t>
  </si>
  <si>
    <t>SUP CUB.</t>
  </si>
  <si>
    <t>m</t>
  </si>
  <si>
    <t>Fijador p/Pared</t>
  </si>
  <si>
    <t>Lt</t>
  </si>
  <si>
    <t>Latex interior</t>
  </si>
  <si>
    <t>Lija</t>
  </si>
  <si>
    <t>Entonador-120cc</t>
  </si>
  <si>
    <t>varios, pinceles, rodillos, etc</t>
  </si>
  <si>
    <t>Aguarrás</t>
  </si>
  <si>
    <t>FLETE</t>
  </si>
  <si>
    <t>Latex cielorraso</t>
  </si>
  <si>
    <t xml:space="preserve">P L A N     D E     T R A B A J O S     Y     D E     I N V E R S I O N E S   </t>
  </si>
  <si>
    <t>MONTO</t>
  </si>
  <si>
    <t>No</t>
  </si>
  <si>
    <t>D E S C R I P C I O N</t>
  </si>
  <si>
    <t>DEL</t>
  </si>
  <si>
    <t>INC.</t>
  </si>
  <si>
    <t>T  O  T  A  L</t>
  </si>
  <si>
    <t>% AVANCE FISICO</t>
  </si>
  <si>
    <t>MENSUAL</t>
  </si>
  <si>
    <t xml:space="preserve">ACUMULADO </t>
  </si>
  <si>
    <t>INVERSION EN</t>
  </si>
  <si>
    <t>PESOS</t>
  </si>
  <si>
    <t>TRABAJOS PREPARATORIOS</t>
  </si>
  <si>
    <t>AIRE ACONDICIONADO</t>
  </si>
  <si>
    <t>COSTO UNIT</t>
  </si>
  <si>
    <t>COSTO ITEM</t>
  </si>
  <si>
    <t>TOTAL RUBRO</t>
  </si>
  <si>
    <t xml:space="preserve"> COSTO - TOTAL  </t>
  </si>
  <si>
    <t xml:space="preserve"> BENEFICIOS </t>
  </si>
  <si>
    <t xml:space="preserve"> SUB-TOTAL </t>
  </si>
  <si>
    <t xml:space="preserve"> IMPUESTO </t>
  </si>
  <si>
    <t>5.3</t>
  </si>
  <si>
    <t>6.2</t>
  </si>
  <si>
    <t xml:space="preserve"> PRECIO </t>
  </si>
  <si>
    <t>PRESUPUESTO RESUMEN</t>
  </si>
  <si>
    <t>VARIOS</t>
  </si>
  <si>
    <t xml:space="preserve">LOCALIDAD: RESISTENCIA </t>
  </si>
  <si>
    <t>INSTALACION ELECTRICA</t>
  </si>
  <si>
    <t>CARPINTERIA</t>
  </si>
  <si>
    <t>7.2</t>
  </si>
  <si>
    <t>PINTURA</t>
  </si>
  <si>
    <t xml:space="preserve">TABIQUE DE PLACAS DE YESO </t>
  </si>
  <si>
    <t>CIELORRASO</t>
  </si>
  <si>
    <t>% INCIDENCIA</t>
  </si>
  <si>
    <t>2.3</t>
  </si>
  <si>
    <t>RETIRO DE INSTALACION EXISTENTE, CAÑOS,CAJAS, CABLES, ETC</t>
  </si>
  <si>
    <t>SISTEMA DE DATOS</t>
  </si>
  <si>
    <t>SOLADO Y ZOCALO</t>
  </si>
  <si>
    <t>4.1.1</t>
  </si>
  <si>
    <t>4.2.1</t>
  </si>
  <si>
    <t xml:space="preserve">EXTRACCION DE ARTEFACTOS DE ILUMINACION </t>
  </si>
  <si>
    <t>DEMOLICION DE CIELORRASO EXISTENTE</t>
  </si>
  <si>
    <t>VARILLA TERMINACION ALUMINIO ANODIZADO PLATA</t>
  </si>
  <si>
    <t>TRASLADO DE MUEBLES, CUADROS, PAPELERIA, ETC</t>
  </si>
  <si>
    <t>CONTENEDOR</t>
  </si>
  <si>
    <t>SPLIT PISO/TECHO 9000 FRIGORÍAS - FRÍO/CALOR</t>
  </si>
  <si>
    <t>Enduído interior</t>
  </si>
  <si>
    <t xml:space="preserve"> GASTOS GENERALES              </t>
  </si>
  <si>
    <t>DEMOLICIONES</t>
  </si>
  <si>
    <t>RETIRO DE CARPINTERIAS EXISTENTES</t>
  </si>
  <si>
    <t>2.4</t>
  </si>
  <si>
    <t>RETIRO DE PAÑOS VIDRIADOS P/ OFICINAS</t>
  </si>
  <si>
    <t>2.5</t>
  </si>
  <si>
    <t>REVOQUE</t>
  </si>
  <si>
    <t>REVOQUE INTERIOR 2:1</t>
  </si>
  <si>
    <t xml:space="preserve">REVOQUE EXTERIOR  3:1 </t>
  </si>
  <si>
    <t xml:space="preserve">CARTEL DE OBRA </t>
  </si>
  <si>
    <t>ESTRUCTURA RESISTENTE</t>
  </si>
  <si>
    <t>CUBIERTA DE CHº Gº</t>
  </si>
  <si>
    <t>CANALETAS CHº Gº</t>
  </si>
  <si>
    <t>ZINGUERIA P/ ENCUENTROS CHº Gº</t>
  </si>
  <si>
    <t>CORRIENTES FUERTES</t>
  </si>
  <si>
    <t>CORRIENTES DEBILES</t>
  </si>
  <si>
    <t>MAMPOSTERIA</t>
  </si>
  <si>
    <t>AISLACION</t>
  </si>
  <si>
    <t>REVESTIMIENTO</t>
  </si>
  <si>
    <t>11.1</t>
  </si>
  <si>
    <t>12.1</t>
  </si>
  <si>
    <t>12.2</t>
  </si>
  <si>
    <t>13.1</t>
  </si>
  <si>
    <t>13.2</t>
  </si>
  <si>
    <t>INSTALACIÓN ELECTROMECÁNICA</t>
  </si>
  <si>
    <t>ASCENSOR</t>
  </si>
  <si>
    <t>14.1</t>
  </si>
  <si>
    <t>14.2</t>
  </si>
  <si>
    <t>RETIRO DE EQUIPOS</t>
  </si>
  <si>
    <t>15.1</t>
  </si>
  <si>
    <t>16.1</t>
  </si>
  <si>
    <t>16.2</t>
  </si>
  <si>
    <t>LATEX PARA INTERIOR</t>
  </si>
  <si>
    <t>LATEX PARA EXTERIOR</t>
  </si>
  <si>
    <t>LATEX PARA CIELORRASO</t>
  </si>
  <si>
    <t>ESTRUTURA DE HºAº</t>
  </si>
  <si>
    <t>ESTRUTURA METALICA</t>
  </si>
  <si>
    <t>DEMOLICION DE PISO Y CONTRAPISO P/ ASCENSOR</t>
  </si>
  <si>
    <t>2.6</t>
  </si>
  <si>
    <t>MOVIMIENTO DE SUELO</t>
  </si>
  <si>
    <t>4.2.3</t>
  </si>
  <si>
    <t>4.2.4</t>
  </si>
  <si>
    <t>4.2.5</t>
  </si>
  <si>
    <t>11.2</t>
  </si>
  <si>
    <t>13.3</t>
  </si>
  <si>
    <t>13.4</t>
  </si>
  <si>
    <t>13.5</t>
  </si>
  <si>
    <t>13.6</t>
  </si>
  <si>
    <t>13.7</t>
  </si>
  <si>
    <t>13.8</t>
  </si>
  <si>
    <t>13.9</t>
  </si>
  <si>
    <t>13.10</t>
  </si>
  <si>
    <t>13.11</t>
  </si>
  <si>
    <t>13.12</t>
  </si>
  <si>
    <t>13.13</t>
  </si>
  <si>
    <t>13.14</t>
  </si>
  <si>
    <t>13.15</t>
  </si>
  <si>
    <t>13.16</t>
  </si>
  <si>
    <t>14.1.1</t>
  </si>
  <si>
    <t>14.1.2</t>
  </si>
  <si>
    <t>14.1.3</t>
  </si>
  <si>
    <t>14.2.1</t>
  </si>
  <si>
    <t>14.2.2</t>
  </si>
  <si>
    <t>17.1</t>
  </si>
  <si>
    <t>17.2</t>
  </si>
  <si>
    <t>17.3</t>
  </si>
  <si>
    <t>17.4</t>
  </si>
  <si>
    <t>18.1</t>
  </si>
  <si>
    <t>18.2</t>
  </si>
  <si>
    <t>18.3</t>
  </si>
  <si>
    <t>18.4</t>
  </si>
  <si>
    <t>18.5</t>
  </si>
  <si>
    <t xml:space="preserve">DETECCIÓN DE INCENDIO </t>
  </si>
  <si>
    <t>ESMALTE SINTETICO SOBRE METALES Y HERRERIA</t>
  </si>
  <si>
    <t>18.6</t>
  </si>
  <si>
    <t xml:space="preserve">CHAPA GALVANIZADA Nº 22 </t>
  </si>
  <si>
    <t>REVOQUE BAJO REVESTIMIENTO 3:1</t>
  </si>
  <si>
    <t>7.3</t>
  </si>
  <si>
    <t>Cartel de Obra</t>
  </si>
  <si>
    <t>Hormigón Elaborado H-30</t>
  </si>
  <si>
    <t>Hierro</t>
  </si>
  <si>
    <t>Alambre</t>
  </si>
  <si>
    <t>Clavos</t>
  </si>
  <si>
    <t>Encofrado</t>
  </si>
  <si>
    <t>2.7</t>
  </si>
  <si>
    <t>DEMOLICION DE PISO DE TERRAZA</t>
  </si>
  <si>
    <t>RETIRO DE BARANDAS EXISTENTES EN TERRAZA</t>
  </si>
  <si>
    <t>EXCAVACION PARA FUNDACION PARA ASCENSOR</t>
  </si>
  <si>
    <t>12.3</t>
  </si>
  <si>
    <t>12.4</t>
  </si>
  <si>
    <t>12.5</t>
  </si>
  <si>
    <t>12.6</t>
  </si>
  <si>
    <t>12.7</t>
  </si>
  <si>
    <t>RETIRO DE ESCOMBROS</t>
  </si>
  <si>
    <t>contenedor</t>
  </si>
  <si>
    <t xml:space="preserve">ZOCALO PVC </t>
  </si>
  <si>
    <t>ESPUMA DE POLIURETANO INYECTADO BAJO CUBIERTA DE CHAPA EXISTENTE</t>
  </si>
  <si>
    <t>LIMPIEZA DE OBRA</t>
  </si>
  <si>
    <t xml:space="preserve">Cemento </t>
  </si>
  <si>
    <t>Ladrillos Comunes</t>
  </si>
  <si>
    <t>MALLA SOSTEN</t>
  </si>
  <si>
    <t xml:space="preserve">MALLA DE REFUERZO, KIT, REPUESTOS </t>
  </si>
  <si>
    <t>COSTO COSTO</t>
  </si>
  <si>
    <t xml:space="preserve">2REVOQUE EXTERIOR  2:1 </t>
  </si>
  <si>
    <t>PORCELANATO 61x61 LIFE TIZA SIN PULIR o similar</t>
  </si>
  <si>
    <t>Pegamento p/porcelanato</t>
  </si>
  <si>
    <t>Pastina p/porcelanato</t>
  </si>
  <si>
    <t xml:space="preserve">Cantonera </t>
  </si>
  <si>
    <t>Autoperforantes</t>
  </si>
  <si>
    <t xml:space="preserve">compriband </t>
  </si>
  <si>
    <t>Sujeciones, fijaciones, sellado</t>
  </si>
  <si>
    <t>Uniones</t>
  </si>
  <si>
    <t>ESTRCTURA METALICA ASCENSOR</t>
  </si>
  <si>
    <t>PASARELAS METALICAS ESTUDIO</t>
  </si>
  <si>
    <t xml:space="preserve">PROVISIÓN E INSTALACIÓN EQUIPO VRF - FRÍO/CALOR - ESTUDIO </t>
  </si>
  <si>
    <t>16.3</t>
  </si>
  <si>
    <t>4.2.6</t>
  </si>
  <si>
    <t>ZOCALO PORCELANATO LIFE TIZA SIN PULIR o similar</t>
  </si>
  <si>
    <t xml:space="preserve">PERFIL de terminacion piso/piso </t>
  </si>
  <si>
    <t xml:space="preserve">CARPETA DE CEMENTO </t>
  </si>
  <si>
    <t>Accesorios de colocación</t>
  </si>
  <si>
    <t xml:space="preserve">PISO VINILICO SPC 22407       </t>
  </si>
  <si>
    <t>ZOCALO  DE PORCELANATO IDEM PISO</t>
  </si>
  <si>
    <t>TABIQUE DE PLACA DE YESO - DOBLE PLACA, LANA DE VIDRIO 70mm-ESTUDIO</t>
  </si>
  <si>
    <t>CIELORRASO DESMONTABLE PLACA EXSOUND C/LV 70mm</t>
  </si>
  <si>
    <t>TABIQUE DE PLACA DE YESO  C/AISL</t>
  </si>
  <si>
    <t xml:space="preserve">REFUERZOS (2 Fe 6mm, concreto)                                                                          </t>
  </si>
  <si>
    <t xml:space="preserve">DINTEL (2 Fe 8mm, concreto)                                                                                   </t>
  </si>
  <si>
    <t>4.2.7</t>
  </si>
  <si>
    <t>4.2.8</t>
  </si>
  <si>
    <t>4.2.9</t>
  </si>
  <si>
    <t>VIGAS METALICAS - VM1-ESTUDIO</t>
  </si>
  <si>
    <t>VIGAS METALICAS - VM2-ESTUDIO</t>
  </si>
  <si>
    <t>4.2.10</t>
  </si>
  <si>
    <t>4.2.11</t>
  </si>
  <si>
    <t>Accesorios p/apoyos</t>
  </si>
  <si>
    <t>CHAPA GALVANIZADA Nº 25</t>
  </si>
  <si>
    <t xml:space="preserve">HºAº PARA BASE ASCENSOR - H30          </t>
  </si>
  <si>
    <t>ASCENSOR HIDRAULICO LATERAL R PARADAS</t>
  </si>
  <si>
    <t>VARIOS CONEXIONADO</t>
  </si>
  <si>
    <t>4.2.12</t>
  </si>
  <si>
    <t>VIGAS METALICAS - VM3-AG.FOCO</t>
  </si>
  <si>
    <t>VIGAS METALICAS - VM4-AG.FOCO</t>
  </si>
  <si>
    <t>VIGAS METALICAS - VM6-AG.FOCO</t>
  </si>
  <si>
    <t>COLUMNAS METALICAS -Co- ESTUDIO-CON REFUERZO DE APOYOS SOBRE LOSAS PRETENSADAS</t>
  </si>
  <si>
    <t>CORREAS PARA CUBIERTA NUEVA-AG.FOCO</t>
  </si>
  <si>
    <t>VIGAS METALICAS - VM5-ESTUDIO - REFUERZO SUPERIOR</t>
  </si>
  <si>
    <t>VIGAS METALICAS - VM7-ESTUDIO</t>
  </si>
  <si>
    <t xml:space="preserve">ANCLANJES </t>
  </si>
  <si>
    <t>Sujeciones,fijaciones p/apoyos</t>
  </si>
  <si>
    <t>5.4</t>
  </si>
  <si>
    <t xml:space="preserve">MAMP. ARMADA LAD.COMUN - 0,18                                                             </t>
  </si>
  <si>
    <t>ESPUMA DE POLIURETANO INYECTADO BAJO CHAPA ESTUDIO</t>
  </si>
  <si>
    <t xml:space="preserve">ESPUMA DE POLIETILENO ALUMINIZADA TBA 10mm </t>
  </si>
  <si>
    <t xml:space="preserve">MAMP. ELEVACION LAD.COMUN - 0,18                                                                  </t>
  </si>
  <si>
    <t>VARILLA TERMINACION</t>
  </si>
  <si>
    <t>PISO PORCELANATO TIPO  61X61 LIFE TIZA SIN PULIR</t>
  </si>
  <si>
    <t>PISO VINILICO esp 2mm en ENTREPISO DE ESTUDIO</t>
  </si>
  <si>
    <t xml:space="preserve">PISO VINILICO SPC 22407 en ESTUDIO (4ºPISO) Y ENTREPISO AG.FOCO </t>
  </si>
  <si>
    <t>BASE FENOLICO ENTREPISOS</t>
  </si>
  <si>
    <t xml:space="preserve">ZOCALO PVC en ESTUDIO Y ENTREPISOS       </t>
  </si>
  <si>
    <t>FIJACIONES</t>
  </si>
  <si>
    <t>bocas de iluminación</t>
  </si>
  <si>
    <t>bocas de iluminación de emergencia</t>
  </si>
  <si>
    <t>bocas de tomas de uso general</t>
  </si>
  <si>
    <t>bocas de tomas de uso especial</t>
  </si>
  <si>
    <t>llaves y tomacorrientes</t>
  </si>
  <si>
    <t>artefactos de iluminación</t>
  </si>
  <si>
    <t>tablero 4º piso-CHACO TV</t>
  </si>
  <si>
    <t>provisión y montaje de bandejas</t>
  </si>
  <si>
    <t>provisión y montaje de cañería de datos</t>
  </si>
  <si>
    <t>provisión y montaje de cañería de detección de incendio</t>
  </si>
  <si>
    <t>provisión y montaje de cañería de CCTV</t>
  </si>
  <si>
    <t>provisión y montaje de cañería de TR</t>
  </si>
  <si>
    <t>alimentación p/sistema de refrigeración</t>
  </si>
  <si>
    <t>instalación especial p/iluminación estudio de grabación</t>
  </si>
  <si>
    <t>iluminación especial en estudio de grabación</t>
  </si>
  <si>
    <t xml:space="preserve">INSTALAC CAÑOS, CAJAS, CABLEADO, TABLEROS,LLAVES Y TOMAS, ARTEF. ILUMINAC., ETC </t>
  </si>
  <si>
    <t>14.2.3</t>
  </si>
  <si>
    <t>14.2.4</t>
  </si>
  <si>
    <t>SISTEMA DE TE</t>
  </si>
  <si>
    <t>SISTEMA DE CCTV</t>
  </si>
  <si>
    <t>V1 - 1,40x2,00 m - LINEA HERRERO</t>
  </si>
  <si>
    <t>V2 - 2,70x2,00 m - LINEA HERRERO</t>
  </si>
  <si>
    <t>CERRAMIENTO 2 - (11,93m+3,40m+4,40m)x2,55m - LINEA HERRERO</t>
  </si>
  <si>
    <t>CERRAMIENTO 1 - (11,93m+4,40m)x2,55m - LINEA HERRERO</t>
  </si>
  <si>
    <t>BOX 1 - (2,50+2,40+3,75+2,00)x2,10m - LINEA HERRERO</t>
  </si>
  <si>
    <t>BOX 2 - (6x1,20+7x2,10)x2,10m - LINEA HERRERO</t>
  </si>
  <si>
    <t>FV1 - 5,20x3,00 m - LINEA HERRERO</t>
  </si>
  <si>
    <t>FV2 - 4,90x3,00 m - LINEA HERRERO</t>
  </si>
  <si>
    <t>FV3 - 3,70x3,00 m - LINEA HERRERO</t>
  </si>
  <si>
    <t>PF1 - 3,95x3,00 m - LINEA HERRERO</t>
  </si>
  <si>
    <t>PF2 - 0,30x3,00 m - LINEA HERRERO</t>
  </si>
  <si>
    <t>P2 - 0,90x2,40 m - LINEA HERRERO - placa c/melamina blanca</t>
  </si>
  <si>
    <t>P1 -1,65x2,40 m - LINEA HERRERO - c/aislación acústica</t>
  </si>
  <si>
    <t>P3 - 0,90x2,10 m - LINEA HERRERO - c/aislación acústica</t>
  </si>
  <si>
    <t>P4 - 0,80x2,10 m - LINEA HERRERO - placa c/melamina blanca</t>
  </si>
  <si>
    <t>PF3 - 5,00x1,00 m - LINEA HERRERO - DVH 3+3-9mm+3+3</t>
  </si>
  <si>
    <t>accesorios de fijación,etc</t>
  </si>
  <si>
    <t>CIELORRASO DE PLACA DE YESO - JUNTA TOMADA LANA DE VIDRIO 50mm</t>
  </si>
  <si>
    <t>PROVISIÓN E INSTALACIÓN SPLIT 4500 FRIGORÍAS - FRÍO/CALOR-SALA TOM</t>
  </si>
  <si>
    <t>ESCALERA METALICA - CARACOL - ESTUDIO</t>
  </si>
  <si>
    <t>18.7</t>
  </si>
  <si>
    <t>ESCALERA METALICA - RECTA, UN TRAMO C/BARANDA - ESTUDIO</t>
  </si>
  <si>
    <t>ESCALERA METALICA - RECTA, DOS TRAMOS C/BARANDA - AG.FOCO</t>
  </si>
  <si>
    <t>sujeciones,fijaciones,etc</t>
  </si>
  <si>
    <t>apoyos,sujeciones,fijaciones,etc</t>
  </si>
  <si>
    <t xml:space="preserve">CARTELES INDICADORES DE LOCAL </t>
  </si>
  <si>
    <t>Matafuego triclase c/tarjeta balizas y gancho ABC  5 KG</t>
  </si>
  <si>
    <t>Latex exterior</t>
  </si>
  <si>
    <t>Antióxido</t>
  </si>
  <si>
    <t xml:space="preserve">Esmalte Sintético </t>
  </si>
  <si>
    <t>18.8</t>
  </si>
  <si>
    <t>PORCELANATO - OFFICE</t>
  </si>
  <si>
    <t>MESADA GRIS MARA C/BACHA OFFICE</t>
  </si>
  <si>
    <t>CORREAS METALICAS - ENTREPISO - ESTUDIO-AG.FOCO</t>
  </si>
  <si>
    <t>1 - TRABAJOS PREPARATORIOS</t>
  </si>
  <si>
    <t>1.1 - TRASLADO DE MUEBLES, CUADROS, PAPELERIA, ETC</t>
  </si>
  <si>
    <t xml:space="preserve">1.2 - CARTEL DE OBRA </t>
  </si>
  <si>
    <t>2 - DEMOLICIONES</t>
  </si>
  <si>
    <t>2.1 - DEMOLICION DE CIELORRASO EXISTENTE</t>
  </si>
  <si>
    <t>2.2 - RETIRO DE CARPINTERIAS EXISTENTES</t>
  </si>
  <si>
    <t>2.3 - RETIRO DE PAÑOS VIDRIADOS P/ OFICINAS</t>
  </si>
  <si>
    <t>2.4 - RETIRO DE BARANDAS EXISTENTES EN TERRAZA</t>
  </si>
  <si>
    <t>2.5 - DEMOLICION DE PISO Y CONTRAPISO P/ ASCENSOR</t>
  </si>
  <si>
    <t>2.6 - DEMOLICION DE PISO DE TERRAZA</t>
  </si>
  <si>
    <t>2.7 - RETIRO DE ESCOMBROS</t>
  </si>
  <si>
    <t>3 - MOVIMIENTO DE SUELO</t>
  </si>
  <si>
    <t>3.1 - EXCAVACION PARA FUNDACION PARA ASCENSOR</t>
  </si>
  <si>
    <t>4 - ESTRUCTURA RESISTENTE</t>
  </si>
  <si>
    <t xml:space="preserve">4.1.1 - HºAº PARA BASE ASCENSOR - H30          </t>
  </si>
  <si>
    <t>4.2.1 - ESTRCTURA METALICA ASCENSOR</t>
  </si>
  <si>
    <t>4.2.3 - COLUMNAS METALICAS -Co- ESTUDIO-CON REFUERZO DE APOYOS SOBRE LOSAS PRETENSADAS</t>
  </si>
  <si>
    <t>4.2.4 - VIGAS METALICAS - VM1-ESTUDIO</t>
  </si>
  <si>
    <t>4.2.5 - VIGAS METALICAS - VM2-ESTUDIO</t>
  </si>
  <si>
    <t>4.2.6 - VIGAS METALICAS - VM3-AG.FOCO</t>
  </si>
  <si>
    <t>4.2.7 - VIGAS METALICAS - VM4-AG.FOCO</t>
  </si>
  <si>
    <t>4.2.9 - VIGAS METALICAS - VM7-ESTUDIO</t>
  </si>
  <si>
    <t>4.2.8 - VIGAS METALICAS - VM6-AG.FOCO</t>
  </si>
  <si>
    <t>4.2.10 - VIGAS METALICAS - VM5-ESTUDIO - REFUERZO SUPERIOR</t>
  </si>
  <si>
    <t>4.2.11 - CORREAS METALICAS - ENTREPISO - ESTUDIO-AG.FOCO</t>
  </si>
  <si>
    <t>4.2.12 - CORREAS PARA CUBIERTA NUEVA-AG.FOCO</t>
  </si>
  <si>
    <t>5 - MAMPOSTERIA</t>
  </si>
  <si>
    <t xml:space="preserve">5.1 - MAMP. ELEVACION LAD.COMUN - 0,18                                                                  </t>
  </si>
  <si>
    <t xml:space="preserve">5.2 - MAMP. ARMADA LAD.COMUN - 0,18                                                             </t>
  </si>
  <si>
    <t xml:space="preserve">5.3 - REFUERZOS (2 Fe 6mm, concreto)                                                                          </t>
  </si>
  <si>
    <t xml:space="preserve">5.4 - DINTEL (2 Fe 8mm, concreto)                                                                                   </t>
  </si>
  <si>
    <t>6 - AISLACION</t>
  </si>
  <si>
    <t>6.1 - ESPUMA DE POLIURETANO INYECTADO BAJO CHAPA ESTUDIO</t>
  </si>
  <si>
    <t xml:space="preserve">6.2 - ESPUMA DE POLIETILENO ALUMINIZADA TBA 10mm </t>
  </si>
  <si>
    <t>7 - REVOQUE</t>
  </si>
  <si>
    <t xml:space="preserve">7.1 - REVOQUE EXTERIOR  3:1 </t>
  </si>
  <si>
    <t>7.3 - REVOQUE BAJO REVESTIMIENTO 3:1</t>
  </si>
  <si>
    <t>7.2 - REVOQUE INTERIOR 2:1</t>
  </si>
  <si>
    <t>8 - REVESTIMIENTO</t>
  </si>
  <si>
    <t>8.1 - PORCELANATO - OFFICE</t>
  </si>
  <si>
    <t>9 - CUBIERTA DE CHº Gº</t>
  </si>
  <si>
    <t>9.1 - CHAPA GALVANIZADA Nº 25</t>
  </si>
  <si>
    <t>9.2 - CANALETAS CHº Gº</t>
  </si>
  <si>
    <t>9.3 - ZINGUERIA P/ ENCUENTROS CHº Gº</t>
  </si>
  <si>
    <t xml:space="preserve">10 - TABIQUE DE PLACAS DE YESO </t>
  </si>
  <si>
    <t>10.1 - TABIQUE DE PLACA DE YESO - DOBLE PLACA, LANA DE VIDRIO 70mm-ESTUDIO</t>
  </si>
  <si>
    <t>10.2 - TABIQUE DE PLACA DE YESO  C/AISL</t>
  </si>
  <si>
    <t>11 - CIELORRASO</t>
  </si>
  <si>
    <t>11.1 - CIELORRASO DESMONTABLE PLACA EXSOUND C/LV 70mm</t>
  </si>
  <si>
    <t>11.2 - CIELORRASO DE PLACA DE YESO - JUNTA TOMADA LANA DE VIDRIO 50mm</t>
  </si>
  <si>
    <t>12 - SOLADO Y ZOCALO</t>
  </si>
  <si>
    <t xml:space="preserve">12.1 - CARPETA DE CEMENTO </t>
  </si>
  <si>
    <t>12.2 - PISO PORCELANATO TIPO  61X61 LIFE TIZA SIN PULIR</t>
  </si>
  <si>
    <t>12.3 - ZOCALO  DE PORCELANATO IDEM PISO</t>
  </si>
  <si>
    <t>12.4 - PISO VINILICO esp 2mm en ENTREPISO DE ESTUDIO</t>
  </si>
  <si>
    <t xml:space="preserve">12.5 - PISO VINILICO SPC 22407 en ESTUDIO (4ºPISO) Y ENTREPISO AG.FOCO </t>
  </si>
  <si>
    <t xml:space="preserve">12.6 - ZOCALO PVC en ESTUDIO Y ENTREPISOS       </t>
  </si>
  <si>
    <t>12.7 - BASE FENOLICO ENTREPISOS</t>
  </si>
  <si>
    <t>13 - CARPINTERIA</t>
  </si>
  <si>
    <t>13.1 - P1 -1,65x2,40 m - LINEA HERRERO - c/aislación acústica</t>
  </si>
  <si>
    <t>13.2 - P2 - 0,90x2,40 m - LINEA HERRERO - placa c/melamina blanca</t>
  </si>
  <si>
    <t>13.3 - P3 - 0,90x2,10 m - LINEA HERRERO - c/aislación acústica</t>
  </si>
  <si>
    <t>13.4 - P4 - 0,80x2,10 m - LINEA HERRERO - placa c/melamina blanca</t>
  </si>
  <si>
    <t>13.5 - CERRAMIENTO 1 - (11,93m+4,40m)x2,55m - LINEA HERRERO</t>
  </si>
  <si>
    <t>13.6 - CERRAMIENTO 2 - (11,93m+3,40m+4,40m)x2,55m - LINEA HERRERO</t>
  </si>
  <si>
    <t>13.7 - V1 - 1,40x2,00 m - LINEA HERRERO</t>
  </si>
  <si>
    <t>13.8 - V2 - 2,70x2,00 m - LINEA HERRERO</t>
  </si>
  <si>
    <t>13.9 - BOX 1 - (2,50+2,40+3,75+2,00)x2,10m - LINEA HERRERO</t>
  </si>
  <si>
    <t>13.10 - BOX 2 - (6x1,20+7x2,10)x2,10m - LINEA HERRERO</t>
  </si>
  <si>
    <t>13.11 - FV1 - 5,20x3,00 m - LINEA HERRERO</t>
  </si>
  <si>
    <t>13.12 - FV2 - 4,90x3,00 m - LINEA HERRERO</t>
  </si>
  <si>
    <t>13.13 - FV3 - 3,70x3,00 m - LINEA HERRERO</t>
  </si>
  <si>
    <t>13.14 - PF1 - 3,95x3,00 m - LINEA HERRERO</t>
  </si>
  <si>
    <t>13.15 - PF2 - 0,30x3,00 m - LINEA HERRERO</t>
  </si>
  <si>
    <t>13.16 - PF3 - 5,00x1,00 m - LINEA HERRERO - DVH 3+3-9mm+3+3</t>
  </si>
  <si>
    <t>14 - INSTALACION ELECTRICA</t>
  </si>
  <si>
    <t xml:space="preserve">14.1.1 - EXTRACCION DE ARTEFACTOS DE ILUMINACION </t>
  </si>
  <si>
    <t>14.1.2 - RETIRO DE INSTALACION EXISTENTE, CAÑOS,CAJAS, CABLES, ETC</t>
  </si>
  <si>
    <t xml:space="preserve">14.1.3 - INSTALAC CAÑOS, CAJAS, CABLEADO, TABLEROS,LLAVES Y TOMAS, ARTEF. ILUMINAC., ETC </t>
  </si>
  <si>
    <t>14.2.1 - SISTEMA DE DATOS</t>
  </si>
  <si>
    <t>14.2.2 - SISTEMA DE TE</t>
  </si>
  <si>
    <t>14.2.3 - SISTEMA DE CCTV</t>
  </si>
  <si>
    <t xml:space="preserve">14.2.4 - DETECCIÓN DE INCENDIO </t>
  </si>
  <si>
    <t>15 - INSTALACIÓN ELECTROMECÁNICA</t>
  </si>
  <si>
    <t>15.1 - ASCENSOR</t>
  </si>
  <si>
    <t>16 - AIRE ACONDICIONADO</t>
  </si>
  <si>
    <t>16.1 - RETIRO DE EQUIPOS</t>
  </si>
  <si>
    <t xml:space="preserve">16.2 - PROVISIÓN E INSTALACIÓN EQUIPO VRF - FRÍO/CALOR - ESTUDIO </t>
  </si>
  <si>
    <t>16.3 - PROVISIÓN E INSTALACIÓN SPLIT 4500 FRIGORÍAS - FRÍO/CALOR-SALA TOM</t>
  </si>
  <si>
    <t>17 - PINTURA</t>
  </si>
  <si>
    <t>17.1 - LATEX PARA INTERIOR</t>
  </si>
  <si>
    <t>17.2 - LATEX PARA EXTERIOR</t>
  </si>
  <si>
    <t>17.3 - LATEX PARA CIELORRASO</t>
  </si>
  <si>
    <t>17.4 - ESMALTE SINTETICO SOBRE METALES Y HERRERIA</t>
  </si>
  <si>
    <t>18 - VARIOS</t>
  </si>
  <si>
    <t>18.1 - LIMPIEZA DE OBRA</t>
  </si>
  <si>
    <t xml:space="preserve">18.2 - CARTELES INDICADORES DE LOCAL </t>
  </si>
  <si>
    <t>18.3 - PASARELAS METALICAS ESTUDIO</t>
  </si>
  <si>
    <t>18.4 - ESCALERA METALICA - RECTA, UN TRAMO C/BARANDA - ESTUDIO</t>
  </si>
  <si>
    <t>18.5 - ESCALERA METALICA - RECTA, DOS TRAMOS C/BARANDA - AG.FOCO</t>
  </si>
  <si>
    <t>18.6 - ESCALERA METALICA - CARACOL - ESTUDIO</t>
  </si>
  <si>
    <t>18.7 - Matafuego triclase c/tarjeta balizas y gancho ABC  5 KG</t>
  </si>
  <si>
    <t>18.8 - MESADA GRIS MARA C/BACHA OFFICE</t>
  </si>
  <si>
    <t>ESTUDIO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</si>
</sst>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[$$-2C0A]\ * #,##0.00_-;\-[$$-2C0A]\ * #,##0.00_-;_-[$$-2C0A]\ * &quot;-&quot;??_-;_-@_-"/>
    <numFmt numFmtId="169" formatCode="0.00_)"/>
    <numFmt numFmtId="170" formatCode="0_)"/>
    <numFmt numFmtId="172" formatCode="[$$-2C0A]\ #,##0.00;[Red]\-[$$-2C0A]\ #,##0.00"/>
    <numFmt numFmtId="173" formatCode="_-* #,##0.00_-;_-* #,##0.00\-;_-* &quot;-&quot;??_-;_-@_-"/>
    <numFmt numFmtId="174" formatCode="_-&quot;F&quot;\ * #,##0.00_-;_-&quot;F&quot;\ * #,##0.00\-;_-&quot;F&quot;\ * &quot;-&quot;??_-;_-@_-"/>
    <numFmt numFmtId="175" formatCode="_-* #,##0.00\ &quot;pta&quot;_-;\-* #,##0.00\ &quot;pta&quot;_-;_-* &quot;-&quot;??\ &quot;pta&quot;_-;_-@_-"/>
    <numFmt numFmtId="176" formatCode="\$#,##0\ ;\(\$#,##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Courier"/>
      <family val="3"/>
    </font>
    <font>
      <sz val="10"/>
      <name val="Courier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sz val="12"/>
      <color theme="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double">
        <color indexed="64"/>
      </top>
      <bottom style="double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" fillId="0" borderId="0"/>
    <xf numFmtId="0" fontId="4" fillId="0" borderId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0" fontId="2" fillId="0" borderId="0"/>
    <xf numFmtId="39" fontId="12" fillId="0" borderId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Font="0" applyFill="0" applyBorder="0" applyAlignment="0" applyProtection="0"/>
    <xf numFmtId="2" fontId="13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0" borderId="41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39" fontId="11" fillId="0" borderId="0"/>
    <xf numFmtId="44" fontId="1" fillId="0" borderId="0" applyFont="0" applyFill="0" applyBorder="0" applyAlignment="0" applyProtection="0"/>
  </cellStyleXfs>
  <cellXfs count="414">
    <xf numFmtId="0" fontId="0" fillId="0" borderId="0" xfId="0"/>
    <xf numFmtId="0" fontId="6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Alignment="1" applyProtection="1">
      <alignment horizontal="left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 applyProtection="1">
      <alignment horizontal="center"/>
    </xf>
    <xf numFmtId="39" fontId="5" fillId="0" borderId="0" xfId="0" applyNumberFormat="1" applyFont="1" applyFill="1" applyProtection="1"/>
    <xf numFmtId="169" fontId="5" fillId="0" borderId="0" xfId="0" applyNumberFormat="1" applyFont="1" applyFill="1" applyProtection="1"/>
    <xf numFmtId="170" fontId="5" fillId="0" borderId="0" xfId="0" applyNumberFormat="1" applyFont="1" applyFill="1" applyProtection="1"/>
    <xf numFmtId="0" fontId="6" fillId="0" borderId="1" xfId="0" quotePrefix="1" applyFont="1" applyFill="1" applyBorder="1" applyAlignment="1" applyProtection="1">
      <alignment horizontal="left"/>
    </xf>
    <xf numFmtId="0" fontId="5" fillId="0" borderId="2" xfId="0" applyFont="1" applyFill="1" applyBorder="1"/>
    <xf numFmtId="0" fontId="5" fillId="0" borderId="3" xfId="0" applyFont="1" applyFill="1" applyBorder="1"/>
    <xf numFmtId="170" fontId="5" fillId="0" borderId="4" xfId="0" applyNumberFormat="1" applyFont="1" applyFill="1" applyBorder="1" applyAlignment="1" applyProtection="1">
      <alignment horizontal="left"/>
    </xf>
    <xf numFmtId="0" fontId="5" fillId="0" borderId="0" xfId="0" applyFont="1" applyFill="1" applyBorder="1"/>
    <xf numFmtId="0" fontId="5" fillId="0" borderId="5" xfId="0" applyFont="1" applyFill="1" applyBorder="1"/>
    <xf numFmtId="170" fontId="5" fillId="0" borderId="11" xfId="0" applyNumberFormat="1" applyFont="1" applyFill="1" applyBorder="1" applyAlignment="1" applyProtection="1">
      <alignment horizontal="left"/>
    </xf>
    <xf numFmtId="0" fontId="5" fillId="0" borderId="12" xfId="0" applyFont="1" applyFill="1" applyBorder="1"/>
    <xf numFmtId="0" fontId="5" fillId="0" borderId="13" xfId="0" applyFont="1" applyFill="1" applyBorder="1"/>
    <xf numFmtId="0" fontId="5" fillId="0" borderId="0" xfId="0" applyFont="1" applyFill="1" applyAlignment="1">
      <alignment vertical="center"/>
    </xf>
    <xf numFmtId="170" fontId="5" fillId="0" borderId="0" xfId="0" applyNumberFormat="1" applyFont="1" applyFill="1" applyAlignment="1" applyProtection="1">
      <alignment horizontal="center" vertical="center"/>
    </xf>
    <xf numFmtId="0" fontId="0" fillId="0" borderId="0" xfId="0" applyFill="1" applyAlignment="1">
      <alignment vertical="center"/>
    </xf>
    <xf numFmtId="165" fontId="5" fillId="0" borderId="0" xfId="2" applyFont="1" applyFill="1" applyAlignment="1">
      <alignment horizontal="center" vertical="center"/>
    </xf>
    <xf numFmtId="165" fontId="5" fillId="0" borderId="0" xfId="2" applyFont="1" applyFill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10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170" fontId="6" fillId="0" borderId="0" xfId="0" applyNumberFormat="1" applyFont="1" applyFill="1" applyAlignment="1" applyProtection="1">
      <alignment horizontal="center" vertical="center"/>
    </xf>
    <xf numFmtId="0" fontId="6" fillId="0" borderId="12" xfId="0" applyFont="1" applyFill="1" applyBorder="1" applyAlignment="1" applyProtection="1">
      <alignment vertical="center"/>
    </xf>
    <xf numFmtId="0" fontId="9" fillId="0" borderId="12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10" fontId="5" fillId="0" borderId="0" xfId="12" applyNumberFormat="1" applyFont="1" applyFill="1" applyAlignment="1" applyProtection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10" fontId="5" fillId="2" borderId="30" xfId="12" applyNumberFormat="1" applyFont="1" applyFill="1" applyBorder="1"/>
    <xf numFmtId="10" fontId="5" fillId="2" borderId="6" xfId="12" applyNumberFormat="1" applyFont="1" applyFill="1" applyBorder="1" applyAlignment="1" applyProtection="1">
      <alignment vertical="center"/>
    </xf>
    <xf numFmtId="8" fontId="5" fillId="2" borderId="6" xfId="0" applyNumberFormat="1" applyFont="1" applyFill="1" applyBorder="1" applyAlignment="1" applyProtection="1">
      <alignment vertical="center"/>
    </xf>
    <xf numFmtId="0" fontId="5" fillId="2" borderId="20" xfId="0" applyFont="1" applyFill="1" applyBorder="1"/>
    <xf numFmtId="0" fontId="5" fillId="2" borderId="21" xfId="0" applyFont="1" applyFill="1" applyBorder="1"/>
    <xf numFmtId="0" fontId="5" fillId="2" borderId="21" xfId="0" applyFont="1" applyFill="1" applyBorder="1" applyAlignment="1">
      <alignment horizontal="center"/>
    </xf>
    <xf numFmtId="0" fontId="5" fillId="2" borderId="21" xfId="0" applyFont="1" applyFill="1" applyBorder="1" applyAlignment="1" applyProtection="1">
      <alignment horizontal="center"/>
    </xf>
    <xf numFmtId="0" fontId="5" fillId="2" borderId="21" xfId="0" quotePrefix="1" applyFont="1" applyFill="1" applyBorder="1" applyAlignment="1">
      <alignment horizontal="center"/>
    </xf>
    <xf numFmtId="0" fontId="5" fillId="2" borderId="22" xfId="0" applyFont="1" applyFill="1" applyBorder="1"/>
    <xf numFmtId="0" fontId="5" fillId="2" borderId="29" xfId="0" applyFont="1" applyFill="1" applyBorder="1" applyAlignment="1" applyProtection="1">
      <alignment horizontal="center"/>
    </xf>
    <xf numFmtId="0" fontId="5" fillId="2" borderId="30" xfId="0" applyFont="1" applyFill="1" applyBorder="1" applyAlignment="1" applyProtection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0" xfId="0" applyFont="1" applyFill="1" applyBorder="1"/>
    <xf numFmtId="0" fontId="5" fillId="2" borderId="30" xfId="0" applyNumberFormat="1" applyFont="1" applyFill="1" applyBorder="1" applyAlignment="1">
      <alignment horizontal="center"/>
    </xf>
    <xf numFmtId="0" fontId="5" fillId="2" borderId="31" xfId="0" applyNumberFormat="1" applyFont="1" applyFill="1" applyBorder="1" applyAlignment="1">
      <alignment horizontal="center"/>
    </xf>
    <xf numFmtId="0" fontId="5" fillId="2" borderId="26" xfId="0" applyFont="1" applyFill="1" applyBorder="1"/>
    <xf numFmtId="0" fontId="5" fillId="2" borderId="27" xfId="0" applyFont="1" applyFill="1" applyBorder="1" applyAlignment="1">
      <alignment horizontal="center"/>
    </xf>
    <xf numFmtId="0" fontId="5" fillId="2" borderId="27" xfId="0" applyFont="1" applyFill="1" applyBorder="1" applyAlignment="1" applyProtection="1">
      <alignment horizontal="center"/>
    </xf>
    <xf numFmtId="37" fontId="5" fillId="2" borderId="27" xfId="0" applyNumberFormat="1" applyFont="1" applyFill="1" applyBorder="1" applyAlignment="1" applyProtection="1">
      <alignment horizontal="center"/>
    </xf>
    <xf numFmtId="37" fontId="5" fillId="2" borderId="28" xfId="0" applyNumberFormat="1" applyFont="1" applyFill="1" applyBorder="1" applyAlignment="1" applyProtection="1">
      <alignment horizontal="center"/>
    </xf>
    <xf numFmtId="37" fontId="5" fillId="2" borderId="20" xfId="0" applyNumberFormat="1" applyFont="1" applyFill="1" applyBorder="1" applyAlignment="1">
      <alignment horizontal="center"/>
    </xf>
    <xf numFmtId="0" fontId="5" fillId="2" borderId="21" xfId="0" applyFont="1" applyFill="1" applyBorder="1" applyAlignment="1" applyProtection="1">
      <alignment horizontal="left"/>
    </xf>
    <xf numFmtId="0" fontId="5" fillId="2" borderId="21" xfId="0" applyFont="1" applyFill="1" applyBorder="1" applyAlignment="1" applyProtection="1">
      <alignment horizontal="right"/>
    </xf>
    <xf numFmtId="10" fontId="5" fillId="2" borderId="21" xfId="12" applyNumberFormat="1" applyFont="1" applyFill="1" applyBorder="1" applyAlignment="1" applyProtection="1">
      <alignment horizontal="center"/>
    </xf>
    <xf numFmtId="10" fontId="5" fillId="2" borderId="21" xfId="12" applyNumberFormat="1" applyFont="1" applyFill="1" applyBorder="1"/>
    <xf numFmtId="10" fontId="5" fillId="2" borderId="22" xfId="12" applyNumberFormat="1" applyFont="1" applyFill="1" applyBorder="1"/>
    <xf numFmtId="37" fontId="5" fillId="2" borderId="29" xfId="0" applyNumberFormat="1" applyFont="1" applyFill="1" applyBorder="1" applyAlignment="1">
      <alignment horizontal="center"/>
    </xf>
    <xf numFmtId="4" fontId="5" fillId="2" borderId="30" xfId="0" applyNumberFormat="1" applyFont="1" applyFill="1" applyBorder="1" applyAlignment="1" applyProtection="1">
      <alignment horizontal="left"/>
    </xf>
    <xf numFmtId="4" fontId="5" fillId="2" borderId="30" xfId="0" applyNumberFormat="1" applyFont="1" applyFill="1" applyBorder="1" applyAlignment="1" applyProtection="1">
      <alignment horizontal="right"/>
    </xf>
    <xf numFmtId="10" fontId="5" fillId="2" borderId="30" xfId="12" applyNumberFormat="1" applyFont="1" applyFill="1" applyBorder="1" applyAlignment="1" applyProtection="1">
      <alignment horizontal="center"/>
    </xf>
    <xf numFmtId="10" fontId="5" fillId="2" borderId="31" xfId="12" applyNumberFormat="1" applyFont="1" applyFill="1" applyBorder="1"/>
    <xf numFmtId="0" fontId="5" fillId="2" borderId="30" xfId="0" applyFont="1" applyFill="1" applyBorder="1" applyAlignment="1" applyProtection="1">
      <alignment horizontal="left"/>
    </xf>
    <xf numFmtId="0" fontId="5" fillId="2" borderId="8" xfId="0" applyFont="1" applyFill="1" applyBorder="1"/>
    <xf numFmtId="0" fontId="6" fillId="2" borderId="10" xfId="0" applyFont="1" applyFill="1" applyBorder="1" applyAlignment="1" applyProtection="1">
      <alignment horizontal="center"/>
    </xf>
    <xf numFmtId="4" fontId="6" fillId="2" borderId="6" xfId="0" applyNumberFormat="1" applyFont="1" applyFill="1" applyBorder="1" applyProtection="1"/>
    <xf numFmtId="10" fontId="6" fillId="2" borderId="6" xfId="12" applyNumberFormat="1" applyFont="1" applyFill="1" applyBorder="1" applyAlignment="1" applyProtection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6" fillId="2" borderId="1" xfId="0" quotePrefix="1" applyFont="1" applyFill="1" applyBorder="1" applyAlignment="1" applyProtection="1">
      <alignment horizontal="left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170" fontId="6" fillId="2" borderId="4" xfId="0" applyNumberFormat="1" applyFont="1" applyFill="1" applyBorder="1" applyAlignment="1" applyProtection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70" fontId="6" fillId="2" borderId="11" xfId="0" applyNumberFormat="1" applyFont="1" applyFill="1" applyBorder="1" applyAlignment="1" applyProtection="1">
      <alignment horizontal="left" vertical="center"/>
    </xf>
    <xf numFmtId="0" fontId="6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6" fillId="2" borderId="12" xfId="0" applyFont="1" applyFill="1" applyBorder="1" applyAlignment="1" applyProtection="1">
      <alignment vertical="center"/>
    </xf>
    <xf numFmtId="0" fontId="9" fillId="2" borderId="0" xfId="0" applyFont="1" applyFill="1" applyBorder="1" applyAlignment="1">
      <alignment vertical="center"/>
    </xf>
    <xf numFmtId="37" fontId="5" fillId="2" borderId="20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 applyProtection="1">
      <alignment horizontal="left" vertical="center"/>
    </xf>
    <xf numFmtId="172" fontId="5" fillId="2" borderId="21" xfId="0" applyNumberFormat="1" applyFont="1" applyFill="1" applyBorder="1" applyAlignment="1" applyProtection="1">
      <alignment horizontal="right" vertical="center"/>
    </xf>
    <xf numFmtId="10" fontId="5" fillId="2" borderId="21" xfId="12" applyNumberFormat="1" applyFont="1" applyFill="1" applyBorder="1" applyAlignment="1" applyProtection="1">
      <alignment horizontal="center" vertical="center"/>
    </xf>
    <xf numFmtId="37" fontId="5" fillId="2" borderId="29" xfId="0" applyNumberFormat="1" applyFont="1" applyFill="1" applyBorder="1" applyAlignment="1">
      <alignment horizontal="center" vertical="center"/>
    </xf>
    <xf numFmtId="0" fontId="5" fillId="2" borderId="30" xfId="0" applyFont="1" applyFill="1" applyBorder="1" applyAlignment="1" applyProtection="1">
      <alignment horizontal="left" vertical="center"/>
    </xf>
    <xf numFmtId="172" fontId="5" fillId="2" borderId="30" xfId="0" applyNumberFormat="1" applyFont="1" applyFill="1" applyBorder="1" applyAlignment="1" applyProtection="1">
      <alignment horizontal="right" vertical="center"/>
    </xf>
    <xf numFmtId="10" fontId="5" fillId="2" borderId="30" xfId="12" applyNumberFormat="1" applyFont="1" applyFill="1" applyBorder="1" applyAlignment="1" applyProtection="1">
      <alignment horizontal="center" vertical="center"/>
    </xf>
    <xf numFmtId="37" fontId="5" fillId="2" borderId="26" xfId="0" applyNumberFormat="1" applyFont="1" applyFill="1" applyBorder="1" applyAlignment="1">
      <alignment horizontal="center" vertical="center"/>
    </xf>
    <xf numFmtId="0" fontId="5" fillId="2" borderId="27" xfId="0" applyFont="1" applyFill="1" applyBorder="1" applyAlignment="1" applyProtection="1">
      <alignment horizontal="left" vertical="center"/>
    </xf>
    <xf numFmtId="172" fontId="5" fillId="2" borderId="27" xfId="0" applyNumberFormat="1" applyFont="1" applyFill="1" applyBorder="1" applyAlignment="1" applyProtection="1">
      <alignment horizontal="right" vertical="center"/>
    </xf>
    <xf numFmtId="10" fontId="5" fillId="2" borderId="27" xfId="12" applyNumberFormat="1" applyFont="1" applyFill="1" applyBorder="1" applyAlignment="1" applyProtection="1">
      <alignment horizontal="center" vertical="center"/>
    </xf>
    <xf numFmtId="0" fontId="5" fillId="2" borderId="11" xfId="0" applyFont="1" applyFill="1" applyBorder="1" applyAlignment="1">
      <alignment vertical="center"/>
    </xf>
    <xf numFmtId="0" fontId="6" fillId="2" borderId="12" xfId="0" applyFont="1" applyFill="1" applyBorder="1" applyAlignment="1" applyProtection="1">
      <alignment horizontal="center" vertical="center"/>
    </xf>
    <xf numFmtId="172" fontId="6" fillId="2" borderId="7" xfId="0" applyNumberFormat="1" applyFont="1" applyFill="1" applyBorder="1" applyAlignment="1" applyProtection="1">
      <alignment vertical="center"/>
    </xf>
    <xf numFmtId="10" fontId="6" fillId="2" borderId="7" xfId="12" applyNumberFormat="1" applyFont="1" applyFill="1" applyBorder="1" applyAlignment="1" applyProtection="1">
      <alignment horizontal="center" vertical="center"/>
    </xf>
    <xf numFmtId="0" fontId="5" fillId="2" borderId="1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7" xfId="0" applyFont="1" applyFill="1" applyBorder="1" applyAlignment="1" applyProtection="1">
      <alignment horizontal="center" vertical="center"/>
    </xf>
    <xf numFmtId="0" fontId="5" fillId="2" borderId="5" xfId="0" quotePrefix="1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center" vertical="center"/>
    </xf>
    <xf numFmtId="0" fontId="5" fillId="2" borderId="13" xfId="0" quotePrefix="1" applyFont="1" applyFill="1" applyBorder="1" applyAlignment="1" applyProtection="1">
      <alignment horizontal="center" vertical="center"/>
    </xf>
    <xf numFmtId="0" fontId="5" fillId="2" borderId="13" xfId="0" applyFont="1" applyFill="1" applyBorder="1" applyAlignment="1" applyProtection="1">
      <alignment horizontal="center" vertical="center"/>
    </xf>
    <xf numFmtId="0" fontId="5" fillId="2" borderId="13" xfId="0" applyFont="1" applyFill="1" applyBorder="1" applyAlignment="1">
      <alignment vertical="center"/>
    </xf>
    <xf numFmtId="2" fontId="5" fillId="2" borderId="0" xfId="0" applyNumberFormat="1" applyFont="1" applyFill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9" fontId="7" fillId="2" borderId="0" xfId="12" applyFont="1" applyFill="1" applyAlignment="1">
      <alignment vertical="center"/>
    </xf>
    <xf numFmtId="10" fontId="5" fillId="2" borderId="0" xfId="12" applyNumberFormat="1" applyFont="1" applyFill="1" applyAlignment="1">
      <alignment horizontal="left" vertical="center"/>
    </xf>
    <xf numFmtId="10" fontId="5" fillId="2" borderId="0" xfId="12" applyNumberFormat="1" applyFont="1" applyFill="1" applyAlignment="1">
      <alignment vertical="center"/>
    </xf>
    <xf numFmtId="167" fontId="5" fillId="2" borderId="0" xfId="0" applyNumberFormat="1" applyFont="1" applyFill="1"/>
    <xf numFmtId="0" fontId="5" fillId="2" borderId="62" xfId="0" quotePrefix="1" applyFont="1" applyFill="1" applyBorder="1" applyAlignment="1">
      <alignment horizontal="center"/>
    </xf>
    <xf numFmtId="37" fontId="5" fillId="2" borderId="64" xfId="0" applyNumberFormat="1" applyFont="1" applyFill="1" applyBorder="1" applyAlignment="1" applyProtection="1">
      <alignment horizontal="center"/>
    </xf>
    <xf numFmtId="10" fontId="5" fillId="2" borderId="62" xfId="12" applyNumberFormat="1" applyFont="1" applyFill="1" applyBorder="1"/>
    <xf numFmtId="10" fontId="5" fillId="2" borderId="63" xfId="12" applyNumberFormat="1" applyFont="1" applyFill="1" applyBorder="1"/>
    <xf numFmtId="4" fontId="10" fillId="0" borderId="0" xfId="0" applyNumberFormat="1" applyFont="1" applyFill="1"/>
    <xf numFmtId="4" fontId="5" fillId="0" borderId="0" xfId="0" applyNumberFormat="1" applyFont="1" applyFill="1"/>
    <xf numFmtId="10" fontId="5" fillId="0" borderId="30" xfId="12" applyNumberFormat="1" applyFont="1" applyFill="1" applyBorder="1" applyAlignment="1">
      <alignment vertical="center"/>
    </xf>
    <xf numFmtId="0" fontId="5" fillId="2" borderId="14" xfId="0" quotePrefix="1" applyFont="1" applyFill="1" applyBorder="1" applyAlignment="1" applyProtection="1">
      <alignment horizontal="center" vertical="center"/>
    </xf>
    <xf numFmtId="0" fontId="5" fillId="2" borderId="14" xfId="0" applyFont="1" applyFill="1" applyBorder="1" applyAlignment="1" applyProtection="1">
      <alignment horizontal="center" vertical="center"/>
    </xf>
    <xf numFmtId="10" fontId="5" fillId="2" borderId="7" xfId="12" applyNumberFormat="1" applyFont="1" applyFill="1" applyBorder="1" applyAlignment="1" applyProtection="1">
      <alignment vertical="center"/>
    </xf>
    <xf numFmtId="0" fontId="5" fillId="2" borderId="65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5" fillId="2" borderId="28" xfId="0" applyFont="1" applyFill="1" applyBorder="1" applyAlignment="1">
      <alignment vertical="center"/>
    </xf>
    <xf numFmtId="4" fontId="7" fillId="0" borderId="29" xfId="0" applyNumberFormat="1" applyFont="1" applyFill="1" applyBorder="1" applyAlignment="1" applyProtection="1">
      <alignment horizontal="left"/>
    </xf>
    <xf numFmtId="4" fontId="7" fillId="0" borderId="30" xfId="0" applyNumberFormat="1" applyFont="1" applyFill="1" applyBorder="1" applyAlignment="1" applyProtection="1">
      <alignment horizontal="center"/>
    </xf>
    <xf numFmtId="4" fontId="7" fillId="0" borderId="30" xfId="0" applyNumberFormat="1" applyFont="1" applyFill="1" applyBorder="1" applyAlignment="1" applyProtection="1"/>
    <xf numFmtId="4" fontId="7" fillId="0" borderId="5" xfId="0" applyNumberFormat="1" applyFont="1" applyFill="1" applyBorder="1" applyAlignment="1"/>
    <xf numFmtId="4" fontId="7" fillId="0" borderId="5" xfId="0" applyNumberFormat="1" applyFont="1" applyFill="1" applyBorder="1" applyProtection="1"/>
    <xf numFmtId="4" fontId="7" fillId="0" borderId="0" xfId="0" applyNumberFormat="1" applyFont="1" applyFill="1" applyAlignment="1">
      <alignment vertical="center"/>
    </xf>
    <xf numFmtId="4" fontId="7" fillId="0" borderId="0" xfId="0" applyNumberFormat="1" applyFont="1" applyFill="1" applyBorder="1" applyAlignment="1">
      <alignment vertical="center"/>
    </xf>
    <xf numFmtId="4" fontId="7" fillId="4" borderId="0" xfId="0" applyNumberFormat="1" applyFont="1" applyFill="1" applyBorder="1" applyAlignment="1">
      <alignment vertical="center"/>
    </xf>
    <xf numFmtId="4" fontId="16" fillId="0" borderId="0" xfId="0" applyNumberFormat="1" applyFont="1" applyFill="1" applyBorder="1" applyAlignment="1">
      <alignment vertical="center"/>
    </xf>
    <xf numFmtId="4" fontId="7" fillId="0" borderId="0" xfId="0" applyNumberFormat="1" applyFont="1" applyFill="1" applyAlignment="1">
      <alignment horizontal="center" vertical="center"/>
    </xf>
    <xf numFmtId="4" fontId="17" fillId="0" borderId="0" xfId="0" applyNumberFormat="1" applyFont="1" applyFill="1" applyBorder="1" applyAlignment="1" applyProtection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167" fontId="7" fillId="0" borderId="15" xfId="2" applyNumberFormat="1" applyFont="1" applyFill="1" applyBorder="1" applyAlignment="1">
      <alignment vertical="center"/>
    </xf>
    <xf numFmtId="167" fontId="7" fillId="0" borderId="0" xfId="2" applyNumberFormat="1" applyFont="1" applyFill="1" applyBorder="1" applyAlignment="1">
      <alignment vertical="center"/>
    </xf>
    <xf numFmtId="4" fontId="15" fillId="0" borderId="0" xfId="0" applyNumberFormat="1" applyFont="1" applyFill="1" applyBorder="1" applyAlignment="1" applyProtection="1">
      <alignment vertical="center"/>
    </xf>
    <xf numFmtId="4" fontId="7" fillId="0" borderId="0" xfId="0" applyNumberFormat="1" applyFont="1" applyFill="1" applyBorder="1" applyAlignment="1" applyProtection="1">
      <alignment horizontal="fill" vertical="center"/>
    </xf>
    <xf numFmtId="4" fontId="15" fillId="0" borderId="0" xfId="0" applyNumberFormat="1" applyFont="1" applyFill="1" applyBorder="1" applyAlignment="1" applyProtection="1">
      <alignment horizontal="fill" vertical="center"/>
    </xf>
    <xf numFmtId="4" fontId="7" fillId="3" borderId="0" xfId="0" applyNumberFormat="1" applyFont="1" applyFill="1" applyAlignment="1">
      <alignment vertical="center"/>
    </xf>
    <xf numFmtId="4" fontId="7" fillId="0" borderId="0" xfId="0" applyNumberFormat="1" applyFont="1" applyFill="1" applyBorder="1" applyAlignment="1">
      <alignment horizontal="center" vertical="center"/>
    </xf>
    <xf numFmtId="4" fontId="15" fillId="0" borderId="0" xfId="0" applyNumberFormat="1" applyFont="1" applyFill="1" applyBorder="1" applyAlignment="1">
      <alignment vertical="center"/>
    </xf>
    <xf numFmtId="4" fontId="15" fillId="0" borderId="0" xfId="0" applyNumberFormat="1" applyFont="1" applyFill="1" applyBorder="1" applyAlignment="1">
      <alignment horizontal="center" vertical="center"/>
    </xf>
    <xf numFmtId="167" fontId="15" fillId="0" borderId="0" xfId="2" applyNumberFormat="1" applyFont="1" applyFill="1" applyBorder="1" applyAlignment="1">
      <alignment vertical="center"/>
    </xf>
    <xf numFmtId="4" fontId="15" fillId="0" borderId="0" xfId="0" applyNumberFormat="1" applyFont="1" applyFill="1" applyBorder="1" applyAlignment="1" applyProtection="1">
      <alignment horizontal="left" vertical="center"/>
    </xf>
    <xf numFmtId="4" fontId="7" fillId="0" borderId="0" xfId="0" applyNumberFormat="1" applyFont="1" applyFill="1" applyBorder="1" applyAlignment="1" applyProtection="1">
      <alignment horizontal="center" vertical="center"/>
    </xf>
    <xf numFmtId="4" fontId="7" fillId="0" borderId="0" xfId="0" quotePrefix="1" applyNumberFormat="1" applyFont="1" applyFill="1" applyBorder="1" applyAlignment="1" applyProtection="1">
      <alignment horizontal="fill" vertical="center"/>
    </xf>
    <xf numFmtId="4" fontId="15" fillId="0" borderId="1" xfId="0" applyNumberFormat="1" applyFont="1" applyFill="1" applyBorder="1" applyAlignment="1" applyProtection="1">
      <alignment horizontal="left" vertical="center"/>
    </xf>
    <xf numFmtId="4" fontId="15" fillId="0" borderId="2" xfId="0" applyNumberFormat="1" applyFont="1" applyFill="1" applyBorder="1" applyAlignment="1" applyProtection="1">
      <alignment vertical="center"/>
    </xf>
    <xf numFmtId="4" fontId="15" fillId="0" borderId="3" xfId="0" applyNumberFormat="1" applyFont="1" applyFill="1" applyBorder="1" applyAlignment="1" applyProtection="1">
      <alignment vertical="center"/>
    </xf>
    <xf numFmtId="4" fontId="17" fillId="0" borderId="0" xfId="0" applyNumberFormat="1" applyFont="1" applyFill="1" applyAlignment="1" applyProtection="1">
      <alignment vertical="center"/>
    </xf>
    <xf numFmtId="4" fontId="7" fillId="0" borderId="12" xfId="0" applyNumberFormat="1" applyFont="1" applyFill="1" applyBorder="1" applyAlignment="1">
      <alignment vertical="center"/>
    </xf>
    <xf numFmtId="4" fontId="17" fillId="0" borderId="12" xfId="0" applyNumberFormat="1" applyFont="1" applyFill="1" applyBorder="1" applyAlignment="1" applyProtection="1">
      <alignment horizontal="left" vertical="center"/>
    </xf>
    <xf numFmtId="4" fontId="7" fillId="0" borderId="12" xfId="0" applyNumberFormat="1" applyFont="1" applyFill="1" applyBorder="1" applyAlignment="1">
      <alignment horizontal="center" vertical="center"/>
    </xf>
    <xf numFmtId="4" fontId="17" fillId="0" borderId="12" xfId="0" applyNumberFormat="1" applyFont="1" applyFill="1" applyBorder="1" applyAlignment="1">
      <alignment horizontal="center" vertical="center"/>
    </xf>
    <xf numFmtId="4" fontId="15" fillId="0" borderId="0" xfId="0" applyNumberFormat="1" applyFont="1" applyFill="1" applyBorder="1" applyAlignment="1" applyProtection="1">
      <alignment horizontal="center" vertical="center"/>
    </xf>
    <xf numFmtId="4" fontId="7" fillId="0" borderId="0" xfId="0" quotePrefix="1" applyNumberFormat="1" applyFont="1" applyFill="1" applyBorder="1" applyAlignment="1" applyProtection="1">
      <alignment horizontal="left" vertical="center"/>
    </xf>
    <xf numFmtId="4" fontId="7" fillId="0" borderId="4" xfId="0" applyNumberFormat="1" applyFont="1" applyFill="1" applyBorder="1" applyAlignment="1" applyProtection="1">
      <alignment vertical="center"/>
    </xf>
    <xf numFmtId="4" fontId="15" fillId="0" borderId="5" xfId="0" applyNumberFormat="1" applyFont="1" applyFill="1" applyBorder="1" applyAlignment="1" applyProtection="1">
      <alignment vertical="center"/>
    </xf>
    <xf numFmtId="4" fontId="7" fillId="0" borderId="4" xfId="0" applyNumberFormat="1" applyFont="1" applyFill="1" applyBorder="1" applyAlignment="1">
      <alignment vertical="center"/>
    </xf>
    <xf numFmtId="4" fontId="7" fillId="0" borderId="2" xfId="0" applyNumberFormat="1" applyFont="1" applyFill="1" applyBorder="1" applyAlignment="1">
      <alignment vertical="center"/>
    </xf>
    <xf numFmtId="4" fontId="7" fillId="0" borderId="2" xfId="0" applyNumberFormat="1" applyFont="1" applyFill="1" applyBorder="1" applyAlignment="1" applyProtection="1">
      <alignment horizontal="center" vertical="center"/>
    </xf>
    <xf numFmtId="4" fontId="7" fillId="0" borderId="5" xfId="0" applyNumberFormat="1" applyFont="1" applyFill="1" applyBorder="1" applyAlignment="1">
      <alignment horizontal="center" vertical="center"/>
    </xf>
    <xf numFmtId="167" fontId="7" fillId="0" borderId="57" xfId="2" applyNumberFormat="1" applyFont="1" applyFill="1" applyBorder="1" applyAlignment="1">
      <alignment vertical="center"/>
    </xf>
    <xf numFmtId="4" fontId="7" fillId="0" borderId="2" xfId="0" applyNumberFormat="1" applyFont="1" applyFill="1" applyBorder="1" applyAlignment="1" applyProtection="1">
      <alignment horizontal="fill" vertical="center"/>
    </xf>
    <xf numFmtId="4" fontId="7" fillId="0" borderId="3" xfId="0" applyNumberFormat="1" applyFont="1" applyFill="1" applyBorder="1" applyAlignment="1" applyProtection="1">
      <alignment horizontal="fill" vertical="center"/>
    </xf>
    <xf numFmtId="167" fontId="7" fillId="0" borderId="5" xfId="2" applyNumberFormat="1" applyFont="1" applyFill="1" applyBorder="1" applyAlignment="1">
      <alignment vertical="center"/>
    </xf>
    <xf numFmtId="4" fontId="16" fillId="0" borderId="0" xfId="0" applyNumberFormat="1" applyFont="1" applyFill="1" applyAlignment="1" applyProtection="1">
      <alignment horizontal="center" vertical="center"/>
    </xf>
    <xf numFmtId="4" fontId="7" fillId="0" borderId="0" xfId="0" applyNumberFormat="1" applyFont="1" applyFill="1" applyAlignment="1" applyProtection="1">
      <alignment vertical="center"/>
    </xf>
    <xf numFmtId="4" fontId="15" fillId="0" borderId="4" xfId="0" applyNumberFormat="1" applyFont="1" applyFill="1" applyBorder="1" applyAlignment="1" applyProtection="1">
      <alignment horizontal="left" vertical="center"/>
    </xf>
    <xf numFmtId="4" fontId="18" fillId="0" borderId="0" xfId="0" applyNumberFormat="1" applyFont="1" applyFill="1" applyBorder="1" applyAlignment="1">
      <alignment vertical="center"/>
    </xf>
    <xf numFmtId="4" fontId="15" fillId="0" borderId="5" xfId="0" applyNumberFormat="1" applyFont="1" applyFill="1" applyBorder="1" applyAlignment="1">
      <alignment horizontal="center" vertical="center"/>
    </xf>
    <xf numFmtId="4" fontId="17" fillId="0" borderId="0" xfId="0" applyNumberFormat="1" applyFont="1" applyFill="1" applyBorder="1" applyAlignment="1">
      <alignment horizontal="center" vertical="center"/>
    </xf>
    <xf numFmtId="4" fontId="16" fillId="0" borderId="0" xfId="0" applyNumberFormat="1" applyFont="1" applyFill="1" applyBorder="1" applyAlignment="1" applyProtection="1">
      <alignment horizontal="center" vertical="center"/>
    </xf>
    <xf numFmtId="4" fontId="7" fillId="0" borderId="0" xfId="0" applyNumberFormat="1" applyFont="1" applyFill="1" applyBorder="1" applyAlignment="1" applyProtection="1">
      <alignment horizontal="left" vertical="center"/>
    </xf>
    <xf numFmtId="4" fontId="7" fillId="0" borderId="16" xfId="0" applyNumberFormat="1" applyFont="1" applyFill="1" applyBorder="1" applyAlignment="1" applyProtection="1">
      <alignment vertical="center"/>
    </xf>
    <xf numFmtId="4" fontId="7" fillId="0" borderId="17" xfId="0" applyNumberFormat="1" applyFont="1" applyFill="1" applyBorder="1" applyAlignment="1">
      <alignment horizontal="center" vertical="center"/>
    </xf>
    <xf numFmtId="4" fontId="7" fillId="0" borderId="17" xfId="0" applyNumberFormat="1" applyFont="1" applyFill="1" applyBorder="1" applyAlignment="1">
      <alignment vertical="center"/>
    </xf>
    <xf numFmtId="4" fontId="7" fillId="0" borderId="18" xfId="0" applyNumberFormat="1" applyFont="1" applyFill="1" applyBorder="1" applyAlignment="1">
      <alignment vertical="center"/>
    </xf>
    <xf numFmtId="4" fontId="7" fillId="0" borderId="11" xfId="0" applyNumberFormat="1" applyFont="1" applyFill="1" applyBorder="1" applyAlignment="1" applyProtection="1">
      <alignment vertical="center"/>
    </xf>
    <xf numFmtId="165" fontId="16" fillId="0" borderId="0" xfId="2" applyFont="1" applyFill="1" applyAlignment="1" applyProtection="1">
      <alignment vertical="center"/>
    </xf>
    <xf numFmtId="4" fontId="7" fillId="3" borderId="0" xfId="0" applyNumberFormat="1" applyFont="1" applyFill="1" applyBorder="1" applyAlignment="1">
      <alignment vertical="center"/>
    </xf>
    <xf numFmtId="165" fontId="7" fillId="0" borderId="0" xfId="2" applyFont="1" applyFill="1" applyAlignment="1" applyProtection="1">
      <alignment vertical="center"/>
    </xf>
    <xf numFmtId="4" fontId="7" fillId="0" borderId="19" xfId="0" applyNumberFormat="1" applyFont="1" applyFill="1" applyBorder="1" applyAlignment="1" applyProtection="1">
      <alignment horizontal="left" vertical="center"/>
    </xf>
    <xf numFmtId="4" fontId="7" fillId="0" borderId="19" xfId="0" applyNumberFormat="1" applyFont="1" applyFill="1" applyBorder="1" applyAlignment="1" applyProtection="1">
      <alignment horizontal="center" vertical="center"/>
    </xf>
    <xf numFmtId="4" fontId="7" fillId="0" borderId="9" xfId="0" applyNumberFormat="1" applyFont="1" applyFill="1" applyBorder="1" applyAlignment="1" applyProtection="1">
      <alignment horizontal="center" vertical="center"/>
    </xf>
    <xf numFmtId="4" fontId="7" fillId="0" borderId="0" xfId="0" applyNumberFormat="1" applyFont="1" applyFill="1" applyBorder="1" applyAlignment="1" applyProtection="1">
      <alignment vertical="center"/>
    </xf>
    <xf numFmtId="4" fontId="7" fillId="0" borderId="0" xfId="0" applyNumberFormat="1" applyFont="1" applyFill="1" applyAlignment="1" applyProtection="1">
      <alignment horizontal="fill" vertical="center"/>
    </xf>
    <xf numFmtId="4" fontId="15" fillId="0" borderId="4" xfId="0" applyNumberFormat="1" applyFont="1" applyFill="1" applyBorder="1" applyAlignment="1">
      <alignment vertical="center"/>
    </xf>
    <xf numFmtId="4" fontId="15" fillId="0" borderId="23" xfId="0" applyNumberFormat="1" applyFont="1" applyFill="1" applyBorder="1" applyAlignment="1" applyProtection="1">
      <alignment horizontal="left" vertical="center"/>
    </xf>
    <xf numFmtId="4" fontId="7" fillId="0" borderId="24" xfId="0" applyNumberFormat="1" applyFont="1" applyFill="1" applyBorder="1" applyAlignment="1" applyProtection="1">
      <alignment horizontal="center" vertical="center"/>
    </xf>
    <xf numFmtId="4" fontId="7" fillId="0" borderId="24" xfId="0" applyNumberFormat="1" applyFont="1" applyFill="1" applyBorder="1" applyAlignment="1" applyProtection="1">
      <alignment vertical="center"/>
    </xf>
    <xf numFmtId="4" fontId="7" fillId="0" borderId="25" xfId="0" applyNumberFormat="1" applyFont="1" applyFill="1" applyBorder="1" applyAlignment="1" applyProtection="1">
      <alignment vertical="center"/>
    </xf>
    <xf numFmtId="4" fontId="7" fillId="0" borderId="5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left" vertical="center"/>
    </xf>
    <xf numFmtId="4" fontId="7" fillId="0" borderId="20" xfId="0" applyNumberFormat="1" applyFont="1" applyFill="1" applyBorder="1" applyAlignment="1" applyProtection="1">
      <alignment horizontal="center" vertical="center"/>
    </xf>
    <xf numFmtId="4" fontId="7" fillId="0" borderId="21" xfId="0" applyNumberFormat="1" applyFont="1" applyFill="1" applyBorder="1" applyAlignment="1" applyProtection="1">
      <alignment horizontal="center" vertical="center"/>
    </xf>
    <xf numFmtId="4" fontId="7" fillId="0" borderId="22" xfId="0" applyNumberFormat="1" applyFont="1" applyFill="1" applyBorder="1" applyAlignment="1" applyProtection="1">
      <alignment horizontal="center" vertical="center"/>
    </xf>
    <xf numFmtId="4" fontId="7" fillId="0" borderId="0" xfId="0" applyNumberFormat="1" applyFont="1" applyFill="1" applyBorder="1" applyAlignment="1" applyProtection="1">
      <alignment horizontal="right" vertical="center"/>
    </xf>
    <xf numFmtId="4" fontId="7" fillId="0" borderId="0" xfId="0" applyNumberFormat="1" applyFont="1" applyFill="1" applyBorder="1" applyAlignment="1" applyProtection="1">
      <alignment vertical="center" wrapText="1"/>
    </xf>
    <xf numFmtId="4" fontId="7" fillId="0" borderId="17" xfId="0" applyNumberFormat="1" applyFont="1" applyFill="1" applyBorder="1" applyAlignment="1" applyProtection="1">
      <alignment vertical="center" wrapText="1"/>
    </xf>
    <xf numFmtId="4" fontId="7" fillId="0" borderId="18" xfId="0" applyNumberFormat="1" applyFont="1" applyFill="1" applyBorder="1" applyAlignment="1" applyProtection="1">
      <alignment vertical="center" wrapText="1"/>
    </xf>
    <xf numFmtId="10" fontId="7" fillId="0" borderId="0" xfId="0" applyNumberFormat="1" applyFont="1" applyFill="1" applyBorder="1" applyAlignment="1" applyProtection="1">
      <alignment horizontal="center" vertical="center" wrapText="1"/>
    </xf>
    <xf numFmtId="10" fontId="7" fillId="0" borderId="57" xfId="7" applyNumberFormat="1" applyFont="1" applyFill="1" applyBorder="1" applyAlignment="1" applyProtection="1">
      <alignment horizontal="center" vertical="center"/>
    </xf>
    <xf numFmtId="4" fontId="7" fillId="0" borderId="29" xfId="0" applyNumberFormat="1" applyFont="1" applyFill="1" applyBorder="1" applyAlignment="1" applyProtection="1">
      <alignment vertical="center"/>
    </xf>
    <xf numFmtId="4" fontId="7" fillId="0" borderId="30" xfId="0" applyNumberFormat="1" applyFont="1" applyFill="1" applyBorder="1" applyAlignment="1">
      <alignment horizontal="center" vertical="center"/>
    </xf>
    <xf numFmtId="4" fontId="7" fillId="0" borderId="30" xfId="0" applyNumberFormat="1" applyFont="1" applyFill="1" applyBorder="1" applyAlignment="1">
      <alignment vertical="center"/>
    </xf>
    <xf numFmtId="4" fontId="7" fillId="0" borderId="31" xfId="0" applyNumberFormat="1" applyFont="1" applyFill="1" applyBorder="1" applyAlignment="1">
      <alignment vertical="center"/>
    </xf>
    <xf numFmtId="4" fontId="7" fillId="0" borderId="4" xfId="0" applyNumberFormat="1" applyFont="1" applyFill="1" applyBorder="1" applyAlignment="1" applyProtection="1">
      <alignment horizontal="left" vertical="center"/>
    </xf>
    <xf numFmtId="4" fontId="7" fillId="0" borderId="31" xfId="0" applyNumberFormat="1" applyFont="1" applyFill="1" applyBorder="1" applyAlignment="1" applyProtection="1">
      <alignment vertical="center"/>
    </xf>
    <xf numFmtId="4" fontId="7" fillId="0" borderId="26" xfId="0" applyNumberFormat="1" applyFont="1" applyFill="1" applyBorder="1" applyAlignment="1" applyProtection="1">
      <alignment horizontal="center" vertical="center"/>
    </xf>
    <xf numFmtId="4" fontId="7" fillId="0" borderId="27" xfId="0" applyNumberFormat="1" applyFont="1" applyFill="1" applyBorder="1" applyAlignment="1" applyProtection="1">
      <alignment vertical="center"/>
    </xf>
    <xf numFmtId="4" fontId="7" fillId="0" borderId="28" xfId="0" applyNumberFormat="1" applyFont="1" applyFill="1" applyBorder="1" applyAlignment="1" applyProtection="1">
      <alignment horizontal="center" vertical="center"/>
    </xf>
    <xf numFmtId="4" fontId="7" fillId="0" borderId="26" xfId="0" applyNumberFormat="1" applyFont="1" applyFill="1" applyBorder="1" applyAlignment="1" applyProtection="1">
      <alignment vertical="center"/>
    </xf>
    <xf numFmtId="4" fontId="7" fillId="0" borderId="27" xfId="0" applyNumberFormat="1" applyFont="1" applyFill="1" applyBorder="1" applyAlignment="1">
      <alignment horizontal="center" vertical="center"/>
    </xf>
    <xf numFmtId="4" fontId="7" fillId="0" borderId="28" xfId="0" applyNumberFormat="1" applyFont="1" applyFill="1" applyBorder="1" applyAlignment="1">
      <alignment vertical="center"/>
    </xf>
    <xf numFmtId="4" fontId="7" fillId="0" borderId="29" xfId="0" applyNumberFormat="1" applyFont="1" applyFill="1" applyBorder="1" applyAlignment="1" applyProtection="1">
      <alignment horizontal="left" vertical="center"/>
    </xf>
    <xf numFmtId="4" fontId="7" fillId="0" borderId="30" xfId="0" applyNumberFormat="1" applyFont="1" applyFill="1" applyBorder="1" applyAlignment="1" applyProtection="1">
      <alignment horizontal="center" vertical="center"/>
    </xf>
    <xf numFmtId="4" fontId="7" fillId="0" borderId="30" xfId="0" applyNumberFormat="1" applyFont="1" applyFill="1" applyBorder="1" applyAlignment="1" applyProtection="1">
      <alignment vertical="center"/>
    </xf>
    <xf numFmtId="4" fontId="15" fillId="0" borderId="20" xfId="0" applyNumberFormat="1" applyFont="1" applyFill="1" applyBorder="1" applyAlignment="1" applyProtection="1">
      <alignment horizontal="center" vertical="center"/>
    </xf>
    <xf numFmtId="4" fontId="15" fillId="0" borderId="21" xfId="0" applyNumberFormat="1" applyFont="1" applyFill="1" applyBorder="1" applyAlignment="1" applyProtection="1">
      <alignment horizontal="center" vertical="center"/>
    </xf>
    <xf numFmtId="167" fontId="7" fillId="0" borderId="21" xfId="0" applyNumberFormat="1" applyFont="1" applyFill="1" applyBorder="1" applyAlignment="1" applyProtection="1">
      <alignment horizontal="fill" vertical="center"/>
    </xf>
    <xf numFmtId="10" fontId="7" fillId="0" borderId="22" xfId="7" applyNumberFormat="1" applyFont="1" applyFill="1" applyBorder="1" applyAlignment="1" applyProtection="1">
      <alignment horizontal="fill" vertical="center"/>
    </xf>
    <xf numFmtId="4" fontId="7" fillId="3" borderId="0" xfId="3" applyNumberFormat="1" applyFont="1" applyFill="1" applyBorder="1" applyAlignment="1">
      <alignment vertical="center" wrapText="1"/>
    </xf>
    <xf numFmtId="4" fontId="7" fillId="0" borderId="8" xfId="0" applyNumberFormat="1" applyFont="1" applyFill="1" applyBorder="1" applyAlignment="1" applyProtection="1">
      <alignment horizontal="left" vertical="center"/>
    </xf>
    <xf numFmtId="4" fontId="7" fillId="0" borderId="10" xfId="0" applyNumberFormat="1" applyFont="1" applyFill="1" applyBorder="1" applyAlignment="1">
      <alignment horizontal="center" vertical="center"/>
    </xf>
    <xf numFmtId="4" fontId="7" fillId="0" borderId="10" xfId="0" applyNumberFormat="1" applyFont="1" applyFill="1" applyBorder="1" applyAlignment="1">
      <alignment vertical="center"/>
    </xf>
    <xf numFmtId="4" fontId="7" fillId="0" borderId="9" xfId="0" applyNumberFormat="1" applyFont="1" applyFill="1" applyBorder="1" applyAlignment="1">
      <alignment vertical="center"/>
    </xf>
    <xf numFmtId="3" fontId="7" fillId="0" borderId="29" xfId="0" applyNumberFormat="1" applyFont="1" applyFill="1" applyBorder="1" applyAlignment="1" applyProtection="1">
      <alignment horizontal="center" vertical="center"/>
    </xf>
    <xf numFmtId="4" fontId="7" fillId="0" borderId="30" xfId="0" applyNumberFormat="1" applyFont="1" applyFill="1" applyBorder="1" applyAlignment="1" applyProtection="1">
      <alignment horizontal="left" vertical="center"/>
    </xf>
    <xf numFmtId="167" fontId="7" fillId="0" borderId="30" xfId="0" applyNumberFormat="1" applyFont="1" applyFill="1" applyBorder="1" applyAlignment="1" applyProtection="1">
      <alignment horizontal="center" vertical="center"/>
    </xf>
    <xf numFmtId="10" fontId="7" fillId="0" borderId="31" xfId="7" applyNumberFormat="1" applyFont="1" applyFill="1" applyBorder="1" applyAlignment="1" applyProtection="1">
      <alignment vertical="center"/>
    </xf>
    <xf numFmtId="4" fontId="17" fillId="0" borderId="0" xfId="0" applyNumberFormat="1" applyFont="1" applyFill="1" applyBorder="1" applyAlignment="1">
      <alignment vertical="center"/>
    </xf>
    <xf numFmtId="4" fontId="16" fillId="0" borderId="0" xfId="0" applyNumberFormat="1" applyFont="1" applyFill="1" applyBorder="1" applyAlignment="1" applyProtection="1">
      <alignment vertical="center"/>
    </xf>
    <xf numFmtId="4" fontId="7" fillId="0" borderId="50" xfId="0" applyNumberFormat="1" applyFont="1" applyFill="1" applyBorder="1" applyAlignment="1" applyProtection="1">
      <alignment horizontal="center" vertical="center"/>
    </xf>
    <xf numFmtId="4" fontId="7" fillId="0" borderId="40" xfId="0" applyNumberFormat="1" applyFont="1" applyFill="1" applyBorder="1" applyAlignment="1" applyProtection="1">
      <alignment horizontal="left" vertical="center"/>
    </xf>
    <xf numFmtId="4" fontId="7" fillId="0" borderId="40" xfId="0" applyNumberFormat="1" applyFont="1" applyFill="1" applyBorder="1" applyAlignment="1" applyProtection="1">
      <alignment horizontal="center" vertical="center"/>
    </xf>
    <xf numFmtId="167" fontId="7" fillId="0" borderId="40" xfId="3" applyNumberFormat="1" applyFont="1" applyFill="1" applyBorder="1" applyAlignment="1" applyProtection="1">
      <alignment vertical="center"/>
    </xf>
    <xf numFmtId="167" fontId="7" fillId="0" borderId="59" xfId="3" applyNumberFormat="1" applyFont="1" applyFill="1" applyBorder="1" applyAlignment="1" applyProtection="1">
      <alignment horizontal="center" vertical="center"/>
    </xf>
    <xf numFmtId="10" fontId="7" fillId="0" borderId="61" xfId="7" applyNumberFormat="1" applyFont="1" applyFill="1" applyBorder="1" applyAlignment="1" applyProtection="1">
      <alignment horizontal="center" vertical="center"/>
    </xf>
    <xf numFmtId="4" fontId="7" fillId="0" borderId="26" xfId="0" applyNumberFormat="1" applyFont="1" applyFill="1" applyBorder="1" applyAlignment="1" applyProtection="1">
      <alignment horizontal="left" vertical="center"/>
    </xf>
    <xf numFmtId="4" fontId="7" fillId="0" borderId="27" xfId="0" applyNumberFormat="1" applyFont="1" applyFill="1" applyBorder="1" applyAlignment="1" applyProtection="1">
      <alignment horizontal="center" vertical="center"/>
    </xf>
    <xf numFmtId="4" fontId="7" fillId="0" borderId="2" xfId="0" applyNumberFormat="1" applyFont="1" applyFill="1" applyBorder="1" applyAlignment="1">
      <alignment horizontal="center" vertical="center"/>
    </xf>
    <xf numFmtId="4" fontId="7" fillId="0" borderId="3" xfId="0" applyNumberFormat="1" applyFont="1" applyFill="1" applyBorder="1" applyAlignment="1">
      <alignment vertical="center"/>
    </xf>
    <xf numFmtId="4" fontId="7" fillId="0" borderId="29" xfId="0" applyNumberFormat="1" applyFont="1" applyFill="1" applyBorder="1" applyAlignment="1">
      <alignment vertical="center"/>
    </xf>
    <xf numFmtId="4" fontId="15" fillId="0" borderId="8" xfId="0" applyNumberFormat="1" applyFont="1" applyFill="1" applyBorder="1" applyAlignment="1" applyProtection="1">
      <alignment horizontal="left" vertical="center"/>
    </xf>
    <xf numFmtId="4" fontId="7" fillId="0" borderId="10" xfId="0" applyNumberFormat="1" applyFont="1" applyFill="1" applyBorder="1" applyAlignment="1" applyProtection="1">
      <alignment horizontal="right" vertical="center"/>
    </xf>
    <xf numFmtId="4" fontId="7" fillId="0" borderId="10" xfId="0" applyNumberFormat="1" applyFont="1" applyFill="1" applyBorder="1" applyAlignment="1" applyProtection="1">
      <alignment vertical="center"/>
    </xf>
    <xf numFmtId="4" fontId="15" fillId="0" borderId="9" xfId="0" applyNumberFormat="1" applyFont="1" applyFill="1" applyBorder="1" applyAlignment="1" applyProtection="1">
      <alignment vertical="center"/>
    </xf>
    <xf numFmtId="4" fontId="15" fillId="0" borderId="15" xfId="0" applyNumberFormat="1" applyFont="1" applyFill="1" applyBorder="1" applyAlignment="1" applyProtection="1">
      <alignment vertical="center"/>
    </xf>
    <xf numFmtId="0" fontId="7" fillId="0" borderId="57" xfId="0" applyFont="1" applyFill="1" applyBorder="1" applyAlignment="1">
      <alignment vertical="center"/>
    </xf>
    <xf numFmtId="4" fontId="15" fillId="0" borderId="50" xfId="0" applyNumberFormat="1" applyFont="1" applyFill="1" applyBorder="1" applyAlignment="1" applyProtection="1">
      <alignment horizontal="center" vertical="center"/>
    </xf>
    <xf numFmtId="4" fontId="15" fillId="0" borderId="40" xfId="0" applyNumberFormat="1" applyFont="1" applyFill="1" applyBorder="1" applyAlignment="1" applyProtection="1">
      <alignment horizontal="left" vertical="center"/>
    </xf>
    <xf numFmtId="3" fontId="7" fillId="0" borderId="26" xfId="0" quotePrefix="1" applyNumberFormat="1" applyFont="1" applyFill="1" applyBorder="1" applyAlignment="1" applyProtection="1">
      <alignment horizontal="center" vertical="center"/>
    </xf>
    <xf numFmtId="4" fontId="7" fillId="0" borderId="27" xfId="0" applyNumberFormat="1" applyFont="1" applyFill="1" applyBorder="1" applyAlignment="1" applyProtection="1">
      <alignment horizontal="left" vertical="center"/>
    </xf>
    <xf numFmtId="167" fontId="7" fillId="0" borderId="27" xfId="0" applyNumberFormat="1" applyFont="1" applyFill="1" applyBorder="1" applyAlignment="1" applyProtection="1">
      <alignment horizontal="center" vertical="center"/>
    </xf>
    <xf numFmtId="10" fontId="7" fillId="0" borderId="28" xfId="7" applyNumberFormat="1" applyFont="1" applyFill="1" applyBorder="1" applyAlignment="1" applyProtection="1">
      <alignment vertical="center"/>
    </xf>
    <xf numFmtId="167" fontId="15" fillId="0" borderId="29" xfId="3" applyNumberFormat="1" applyFont="1" applyFill="1" applyBorder="1" applyAlignment="1" applyProtection="1">
      <alignment vertical="center"/>
    </xf>
    <xf numFmtId="10" fontId="15" fillId="0" borderId="31" xfId="7" applyNumberFormat="1" applyFont="1" applyFill="1" applyBorder="1" applyAlignment="1" applyProtection="1">
      <alignment vertical="center"/>
    </xf>
    <xf numFmtId="4" fontId="7" fillId="0" borderId="0" xfId="0" applyNumberFormat="1" applyFont="1" applyFill="1" applyAlignment="1" applyProtection="1">
      <alignment horizontal="center" vertical="center"/>
    </xf>
    <xf numFmtId="4" fontId="7" fillId="0" borderId="26" xfId="0" applyNumberFormat="1" applyFont="1" applyFill="1" applyBorder="1" applyAlignment="1" applyProtection="1">
      <alignment horizontal="fill" vertical="center"/>
    </xf>
    <xf numFmtId="10" fontId="7" fillId="0" borderId="28" xfId="7" applyNumberFormat="1" applyFont="1" applyFill="1" applyBorder="1" applyAlignment="1" applyProtection="1">
      <alignment horizontal="fill" vertical="center"/>
    </xf>
    <xf numFmtId="10" fontId="7" fillId="0" borderId="0" xfId="7" quotePrefix="1" applyNumberFormat="1" applyFont="1" applyFill="1" applyBorder="1" applyAlignment="1" applyProtection="1">
      <alignment horizontal="left" vertical="center"/>
    </xf>
    <xf numFmtId="4" fontId="7" fillId="0" borderId="36" xfId="0" applyNumberFormat="1" applyFont="1" applyFill="1" applyBorder="1" applyAlignment="1" applyProtection="1">
      <alignment horizontal="left" vertical="center"/>
    </xf>
    <xf numFmtId="165" fontId="16" fillId="0" borderId="0" xfId="2" applyFont="1" applyFill="1" applyBorder="1" applyAlignment="1" applyProtection="1">
      <alignment vertical="center"/>
    </xf>
    <xf numFmtId="4" fontId="7" fillId="3" borderId="0" xfId="3" applyNumberFormat="1" applyFont="1" applyFill="1" applyBorder="1" applyAlignment="1">
      <alignment vertical="center"/>
    </xf>
    <xf numFmtId="4" fontId="7" fillId="0" borderId="34" xfId="0" applyNumberFormat="1" applyFont="1" applyFill="1" applyBorder="1" applyAlignment="1" applyProtection="1">
      <alignment horizontal="center" vertical="center"/>
    </xf>
    <xf numFmtId="4" fontId="7" fillId="0" borderId="34" xfId="0" applyNumberFormat="1" applyFont="1" applyFill="1" applyBorder="1" applyAlignment="1" applyProtection="1">
      <alignment vertical="center"/>
    </xf>
    <xf numFmtId="4" fontId="15" fillId="3" borderId="0" xfId="3" applyNumberFormat="1" applyFont="1" applyFill="1" applyBorder="1" applyAlignment="1">
      <alignment vertical="center"/>
    </xf>
    <xf numFmtId="4" fontId="7" fillId="3" borderId="0" xfId="4" applyNumberFormat="1" applyFont="1" applyFill="1" applyBorder="1" applyAlignment="1">
      <alignment vertical="center"/>
    </xf>
    <xf numFmtId="4" fontId="16" fillId="0" borderId="5" xfId="0" applyNumberFormat="1" applyFont="1" applyFill="1" applyBorder="1" applyAlignment="1" applyProtection="1">
      <alignment vertical="center"/>
    </xf>
    <xf numFmtId="4" fontId="19" fillId="3" borderId="0" xfId="0" applyNumberFormat="1" applyFont="1" applyFill="1" applyBorder="1" applyAlignment="1" applyProtection="1">
      <alignment vertical="center"/>
    </xf>
    <xf numFmtId="4" fontId="7" fillId="0" borderId="13" xfId="0" applyNumberFormat="1" applyFont="1" applyFill="1" applyBorder="1" applyAlignment="1">
      <alignment vertical="center"/>
    </xf>
    <xf numFmtId="4" fontId="7" fillId="0" borderId="32" xfId="0" applyNumberFormat="1" applyFont="1" applyFill="1" applyBorder="1" applyAlignment="1" applyProtection="1">
      <alignment horizontal="left" vertical="center"/>
    </xf>
    <xf numFmtId="4" fontId="7" fillId="0" borderId="33" xfId="0" applyNumberFormat="1" applyFont="1" applyFill="1" applyBorder="1" applyAlignment="1" applyProtection="1">
      <alignment horizontal="center" vertical="center"/>
    </xf>
    <xf numFmtId="4" fontId="7" fillId="0" borderId="33" xfId="0" applyNumberFormat="1" applyFont="1" applyFill="1" applyBorder="1" applyAlignment="1" applyProtection="1">
      <alignment vertical="center"/>
    </xf>
    <xf numFmtId="4" fontId="7" fillId="0" borderId="37" xfId="0" applyNumberFormat="1" applyFont="1" applyFill="1" applyBorder="1" applyAlignment="1" applyProtection="1">
      <alignment vertical="center"/>
    </xf>
    <xf numFmtId="4" fontId="7" fillId="0" borderId="38" xfId="0" applyNumberFormat="1" applyFont="1" applyFill="1" applyBorder="1" applyAlignment="1">
      <alignment vertical="center"/>
    </xf>
    <xf numFmtId="4" fontId="7" fillId="0" borderId="5" xfId="0" applyNumberFormat="1" applyFont="1" applyFill="1" applyBorder="1" applyAlignment="1">
      <alignment vertical="center"/>
    </xf>
    <xf numFmtId="4" fontId="7" fillId="0" borderId="34" xfId="0" applyNumberFormat="1" applyFont="1" applyFill="1" applyBorder="1" applyAlignment="1">
      <alignment vertical="center"/>
    </xf>
    <xf numFmtId="4" fontId="7" fillId="0" borderId="0" xfId="0" applyNumberFormat="1" applyFont="1" applyFill="1" applyBorder="1" applyAlignment="1">
      <alignment horizontal="left" vertical="center"/>
    </xf>
    <xf numFmtId="167" fontId="15" fillId="0" borderId="0" xfId="3" applyNumberFormat="1" applyFont="1" applyFill="1" applyBorder="1" applyAlignment="1" applyProtection="1">
      <alignment horizontal="center" vertical="center"/>
    </xf>
    <xf numFmtId="4" fontId="7" fillId="0" borderId="34" xfId="0" applyNumberFormat="1" applyFont="1" applyFill="1" applyBorder="1" applyAlignment="1" applyProtection="1">
      <alignment horizontal="left" vertical="center"/>
    </xf>
    <xf numFmtId="4" fontId="7" fillId="0" borderId="40" xfId="0" applyNumberFormat="1" applyFont="1" applyFill="1" applyBorder="1" applyAlignment="1" applyProtection="1">
      <alignment horizontal="center" vertical="top"/>
    </xf>
    <xf numFmtId="167" fontId="7" fillId="0" borderId="59" xfId="3" applyNumberFormat="1" applyFont="1" applyFill="1" applyBorder="1" applyAlignment="1" applyProtection="1">
      <alignment horizontal="center" vertical="top"/>
    </xf>
    <xf numFmtId="4" fontId="7" fillId="0" borderId="19" xfId="5" applyNumberFormat="1" applyFont="1" applyFill="1" applyBorder="1" applyAlignment="1" applyProtection="1">
      <alignment horizontal="left" vertical="center"/>
    </xf>
    <xf numFmtId="4" fontId="7" fillId="0" borderId="19" xfId="5" applyNumberFormat="1" applyFont="1" applyFill="1" applyBorder="1" applyAlignment="1" applyProtection="1">
      <alignment horizontal="center" vertical="center"/>
    </xf>
    <xf numFmtId="4" fontId="7" fillId="0" borderId="9" xfId="5" applyNumberFormat="1" applyFont="1" applyFill="1" applyBorder="1" applyAlignment="1" applyProtection="1">
      <alignment horizontal="center" vertical="center"/>
    </xf>
    <xf numFmtId="4" fontId="15" fillId="0" borderId="23" xfId="5" applyNumberFormat="1" applyFont="1" applyFill="1" applyBorder="1" applyAlignment="1" applyProtection="1">
      <alignment horizontal="left" vertical="center"/>
    </xf>
    <xf numFmtId="4" fontId="7" fillId="0" borderId="24" xfId="5" applyNumberFormat="1" applyFont="1" applyFill="1" applyBorder="1" applyAlignment="1" applyProtection="1">
      <alignment horizontal="center" vertical="center"/>
    </xf>
    <xf numFmtId="4" fontId="7" fillId="0" borderId="24" xfId="5" applyNumberFormat="1" applyFont="1" applyFill="1" applyBorder="1" applyAlignment="1" applyProtection="1">
      <alignment vertical="center"/>
    </xf>
    <xf numFmtId="4" fontId="7" fillId="0" borderId="25" xfId="5" applyNumberFormat="1" applyFont="1" applyFill="1" applyBorder="1" applyAlignment="1" applyProtection="1">
      <alignment vertical="center"/>
    </xf>
    <xf numFmtId="4" fontId="7" fillId="0" borderId="5" xfId="5" applyNumberFormat="1" applyFont="1" applyFill="1" applyBorder="1" applyAlignment="1" applyProtection="1">
      <alignment vertical="center"/>
    </xf>
    <xf numFmtId="4" fontId="7" fillId="0" borderId="4" xfId="5" applyNumberFormat="1" applyFont="1" applyFill="1" applyBorder="1" applyAlignment="1" applyProtection="1">
      <alignment horizontal="left" vertical="center"/>
    </xf>
    <xf numFmtId="4" fontId="7" fillId="0" borderId="30" xfId="5" applyNumberFormat="1" applyFont="1" applyFill="1" applyBorder="1" applyAlignment="1">
      <alignment horizontal="center" vertical="center"/>
    </xf>
    <xf numFmtId="4" fontId="7" fillId="0" borderId="30" xfId="5" applyNumberFormat="1" applyFont="1" applyFill="1" applyBorder="1" applyAlignment="1">
      <alignment vertical="center"/>
    </xf>
    <xf numFmtId="4" fontId="19" fillId="3" borderId="0" xfId="0" applyNumberFormat="1" applyFont="1" applyFill="1" applyBorder="1" applyAlignment="1">
      <alignment vertical="center"/>
    </xf>
    <xf numFmtId="4" fontId="7" fillId="0" borderId="29" xfId="5" applyNumberFormat="1" applyFont="1" applyFill="1" applyBorder="1" applyAlignment="1" applyProtection="1">
      <alignment horizontal="left" vertical="center"/>
    </xf>
    <xf numFmtId="4" fontId="7" fillId="0" borderId="30" xfId="5" applyNumberFormat="1" applyFont="1" applyFill="1" applyBorder="1" applyAlignment="1" applyProtection="1">
      <alignment horizontal="center" vertical="center"/>
    </xf>
    <xf numFmtId="4" fontId="7" fillId="0" borderId="30" xfId="5" applyNumberFormat="1" applyFont="1" applyFill="1" applyBorder="1" applyAlignment="1" applyProtection="1">
      <alignment vertical="center"/>
    </xf>
    <xf numFmtId="4" fontId="7" fillId="0" borderId="27" xfId="5" applyNumberFormat="1" applyFont="1" applyFill="1" applyBorder="1" applyAlignment="1" applyProtection="1">
      <alignment vertical="center"/>
    </xf>
    <xf numFmtId="4" fontId="7" fillId="0" borderId="8" xfId="5" applyNumberFormat="1" applyFont="1" applyFill="1" applyBorder="1" applyAlignment="1" applyProtection="1">
      <alignment horizontal="left" vertical="center"/>
    </xf>
    <xf numFmtId="4" fontId="7" fillId="0" borderId="10" xfId="5" applyNumberFormat="1" applyFont="1" applyFill="1" applyBorder="1" applyAlignment="1">
      <alignment horizontal="center" vertical="center"/>
    </xf>
    <xf numFmtId="4" fontId="7" fillId="0" borderId="10" xfId="5" applyNumberFormat="1" applyFont="1" applyFill="1" applyBorder="1" applyAlignment="1">
      <alignment vertical="center"/>
    </xf>
    <xf numFmtId="4" fontId="7" fillId="0" borderId="9" xfId="5" applyNumberFormat="1" applyFont="1" applyFill="1" applyBorder="1" applyAlignment="1">
      <alignment vertical="center"/>
    </xf>
    <xf numFmtId="4" fontId="16" fillId="0" borderId="0" xfId="5" applyNumberFormat="1" applyFont="1" applyFill="1" applyBorder="1" applyAlignment="1" applyProtection="1">
      <alignment vertical="center"/>
    </xf>
    <xf numFmtId="4" fontId="7" fillId="0" borderId="0" xfId="5" applyNumberFormat="1" applyFont="1" applyFill="1" applyBorder="1" applyAlignment="1" applyProtection="1">
      <alignment vertical="center"/>
    </xf>
    <xf numFmtId="4" fontId="7" fillId="0" borderId="26" xfId="5" applyNumberFormat="1" applyFont="1" applyFill="1" applyBorder="1" applyAlignment="1" applyProtection="1">
      <alignment horizontal="left" vertical="center"/>
    </xf>
    <xf numFmtId="4" fontId="7" fillId="0" borderId="27" xfId="5" applyNumberFormat="1" applyFont="1" applyFill="1" applyBorder="1" applyAlignment="1" applyProtection="1">
      <alignment horizontal="center" vertical="center"/>
    </xf>
    <xf numFmtId="4" fontId="7" fillId="0" borderId="31" xfId="5" applyNumberFormat="1" applyFont="1" applyFill="1" applyBorder="1" applyAlignment="1">
      <alignment vertical="center"/>
    </xf>
    <xf numFmtId="4" fontId="7" fillId="0" borderId="0" xfId="5" applyNumberFormat="1" applyFont="1" applyFill="1" applyBorder="1" applyAlignment="1" applyProtection="1">
      <alignment horizontal="center" vertical="center"/>
    </xf>
    <xf numFmtId="4" fontId="7" fillId="0" borderId="29" xfId="5" applyNumberFormat="1" applyFont="1" applyFill="1" applyBorder="1" applyAlignment="1">
      <alignment vertical="center"/>
    </xf>
    <xf numFmtId="4" fontId="7" fillId="0" borderId="1" xfId="5" applyNumberFormat="1" applyFont="1" applyFill="1" applyBorder="1" applyAlignment="1" applyProtection="1">
      <alignment horizontal="left" vertical="center"/>
    </xf>
    <xf numFmtId="4" fontId="7" fillId="0" borderId="2" xfId="5" applyNumberFormat="1" applyFont="1" applyFill="1" applyBorder="1" applyAlignment="1">
      <alignment horizontal="center" vertical="center"/>
    </xf>
    <xf numFmtId="4" fontId="7" fillId="0" borderId="2" xfId="5" applyNumberFormat="1" applyFont="1" applyFill="1" applyBorder="1" applyAlignment="1">
      <alignment vertical="center"/>
    </xf>
    <xf numFmtId="4" fontId="15" fillId="0" borderId="8" xfId="5" applyNumberFormat="1" applyFont="1" applyFill="1" applyBorder="1" applyAlignment="1" applyProtection="1">
      <alignment horizontal="left" vertical="center"/>
    </xf>
    <xf numFmtId="4" fontId="7" fillId="0" borderId="10" xfId="5" applyNumberFormat="1" applyFont="1" applyFill="1" applyBorder="1" applyAlignment="1" applyProtection="1">
      <alignment horizontal="right" vertical="center"/>
    </xf>
    <xf numFmtId="4" fontId="7" fillId="0" borderId="10" xfId="5" applyNumberFormat="1" applyFont="1" applyFill="1" applyBorder="1" applyAlignment="1" applyProtection="1">
      <alignment vertical="center"/>
    </xf>
    <xf numFmtId="4" fontId="15" fillId="0" borderId="10" xfId="5" applyNumberFormat="1" applyFont="1" applyFill="1" applyBorder="1" applyAlignment="1" applyProtection="1">
      <alignment horizontal="left" vertical="center"/>
    </xf>
    <xf numFmtId="4" fontId="7" fillId="0" borderId="0" xfId="5" applyNumberFormat="1" applyFont="1" applyFill="1" applyBorder="1" applyAlignment="1">
      <alignment horizontal="center" vertical="center"/>
    </xf>
    <xf numFmtId="4" fontId="7" fillId="0" borderId="0" xfId="5" applyNumberFormat="1" applyFont="1" applyFill="1" applyBorder="1" applyAlignment="1" applyProtection="1">
      <alignment horizontal="right" vertical="center"/>
    </xf>
    <xf numFmtId="4" fontId="15" fillId="0" borderId="0" xfId="5" applyNumberFormat="1" applyFont="1" applyFill="1" applyBorder="1" applyAlignment="1" applyProtection="1">
      <alignment vertical="center"/>
    </xf>
    <xf numFmtId="3" fontId="15" fillId="0" borderId="0" xfId="0" quotePrefix="1" applyNumberFormat="1" applyFont="1" applyFill="1" applyBorder="1" applyAlignment="1" applyProtection="1">
      <alignment horizontal="center" vertical="center"/>
    </xf>
    <xf numFmtId="4" fontId="7" fillId="0" borderId="0" xfId="3" applyNumberFormat="1" applyFont="1" applyFill="1" applyBorder="1" applyAlignment="1" applyProtection="1">
      <alignment vertical="center"/>
    </xf>
    <xf numFmtId="4" fontId="7" fillId="0" borderId="0" xfId="7" applyNumberFormat="1" applyFont="1" applyFill="1" applyBorder="1" applyAlignment="1" applyProtection="1">
      <alignment horizontal="center" vertical="center"/>
    </xf>
    <xf numFmtId="4" fontId="7" fillId="0" borderId="46" xfId="0" quotePrefix="1" applyNumberFormat="1" applyFont="1" applyFill="1" applyBorder="1" applyAlignment="1" applyProtection="1">
      <alignment horizontal="center" vertical="center"/>
    </xf>
    <xf numFmtId="4" fontId="7" fillId="0" borderId="35" xfId="0" applyNumberFormat="1" applyFont="1" applyFill="1" applyBorder="1" applyAlignment="1" applyProtection="1">
      <alignment horizontal="left" vertical="center"/>
    </xf>
    <xf numFmtId="4" fontId="7" fillId="0" borderId="35" xfId="0" applyNumberFormat="1" applyFont="1" applyFill="1" applyBorder="1" applyAlignment="1" applyProtection="1">
      <alignment horizontal="center" vertical="center"/>
    </xf>
    <xf numFmtId="10" fontId="7" fillId="0" borderId="35" xfId="12" applyNumberFormat="1" applyFont="1" applyFill="1" applyBorder="1" applyAlignment="1" applyProtection="1">
      <alignment horizontal="center" vertical="center"/>
    </xf>
    <xf numFmtId="4" fontId="7" fillId="0" borderId="35" xfId="0" applyNumberFormat="1" applyFont="1" applyFill="1" applyBorder="1" applyAlignment="1">
      <alignment horizontal="center" vertical="center"/>
    </xf>
    <xf numFmtId="167" fontId="7" fillId="0" borderId="47" xfId="0" applyNumberFormat="1" applyFont="1" applyFill="1" applyBorder="1" applyAlignment="1">
      <alignment horizontal="center" vertical="center"/>
    </xf>
    <xf numFmtId="10" fontId="7" fillId="0" borderId="0" xfId="7" applyNumberFormat="1" applyFont="1" applyFill="1" applyBorder="1" applyAlignment="1" applyProtection="1">
      <alignment horizontal="center" vertical="center"/>
    </xf>
    <xf numFmtId="164" fontId="16" fillId="0" borderId="0" xfId="3" applyFont="1" applyFill="1" applyBorder="1" applyAlignment="1" applyProtection="1">
      <alignment horizontal="center" vertical="center"/>
    </xf>
    <xf numFmtId="4" fontId="7" fillId="0" borderId="48" xfId="0" quotePrefix="1" applyNumberFormat="1" applyFont="1" applyFill="1" applyBorder="1" applyAlignment="1" applyProtection="1">
      <alignment horizontal="center" vertical="center"/>
    </xf>
    <xf numFmtId="4" fontId="7" fillId="0" borderId="43" xfId="0" applyNumberFormat="1" applyFont="1" applyFill="1" applyBorder="1" applyAlignment="1" applyProtection="1">
      <alignment horizontal="left" vertical="center"/>
    </xf>
    <xf numFmtId="10" fontId="7" fillId="0" borderId="43" xfId="12" applyNumberFormat="1" applyFont="1" applyFill="1" applyBorder="1" applyAlignment="1" applyProtection="1">
      <alignment horizontal="left" vertical="center"/>
    </xf>
    <xf numFmtId="10" fontId="7" fillId="0" borderId="43" xfId="12" applyNumberFormat="1" applyFont="1" applyFill="1" applyBorder="1" applyAlignment="1" applyProtection="1">
      <alignment horizontal="center" vertical="center"/>
    </xf>
    <xf numFmtId="4" fontId="7" fillId="0" borderId="43" xfId="0" applyNumberFormat="1" applyFont="1" applyFill="1" applyBorder="1" applyAlignment="1">
      <alignment horizontal="center" vertical="center"/>
    </xf>
    <xf numFmtId="167" fontId="7" fillId="0" borderId="49" xfId="0" applyNumberFormat="1" applyFont="1" applyFill="1" applyBorder="1" applyAlignment="1">
      <alignment horizontal="center" vertical="center"/>
    </xf>
    <xf numFmtId="4" fontId="7" fillId="0" borderId="16" xfId="5" applyNumberFormat="1" applyFont="1" applyFill="1" applyBorder="1" applyAlignment="1" applyProtection="1">
      <alignment vertical="center"/>
    </xf>
    <xf numFmtId="4" fontId="7" fillId="0" borderId="17" xfId="5" applyNumberFormat="1" applyFont="1" applyFill="1" applyBorder="1" applyAlignment="1">
      <alignment horizontal="center" vertical="center"/>
    </xf>
    <xf numFmtId="4" fontId="7" fillId="0" borderId="17" xfId="5" applyNumberFormat="1" applyFont="1" applyFill="1" applyBorder="1" applyAlignment="1">
      <alignment vertical="center"/>
    </xf>
    <xf numFmtId="4" fontId="7" fillId="0" borderId="18" xfId="5" applyNumberFormat="1" applyFont="1" applyFill="1" applyBorder="1" applyAlignment="1">
      <alignment vertical="center"/>
    </xf>
    <xf numFmtId="4" fontId="16" fillId="0" borderId="0" xfId="3" applyNumberFormat="1" applyFont="1" applyFill="1" applyBorder="1" applyAlignment="1" applyProtection="1">
      <alignment horizontal="center" vertical="center"/>
    </xf>
    <xf numFmtId="4" fontId="15" fillId="0" borderId="2" xfId="0" applyNumberFormat="1" applyFont="1" applyFill="1" applyBorder="1" applyAlignment="1" applyProtection="1">
      <alignment horizontal="left" vertical="center"/>
    </xf>
    <xf numFmtId="4" fontId="20" fillId="0" borderId="0" xfId="0" applyNumberFormat="1" applyFont="1" applyFill="1" applyBorder="1" applyAlignment="1">
      <alignment horizontal="center" vertical="center"/>
    </xf>
    <xf numFmtId="4" fontId="20" fillId="0" borderId="0" xfId="0" applyNumberFormat="1" applyFont="1" applyFill="1" applyAlignment="1">
      <alignment vertical="center"/>
    </xf>
    <xf numFmtId="167" fontId="16" fillId="0" borderId="0" xfId="0" applyNumberFormat="1" applyFont="1" applyFill="1" applyAlignment="1">
      <alignment horizontal="center" vertical="center"/>
    </xf>
    <xf numFmtId="4" fontId="15" fillId="0" borderId="2" xfId="5" applyNumberFormat="1" applyFont="1" applyFill="1" applyBorder="1" applyAlignment="1" applyProtection="1">
      <alignment horizontal="left" vertical="center"/>
    </xf>
    <xf numFmtId="4" fontId="7" fillId="0" borderId="29" xfId="0" applyNumberFormat="1" applyFont="1" applyFill="1" applyBorder="1"/>
    <xf numFmtId="4" fontId="7" fillId="0" borderId="30" xfId="0" applyNumberFormat="1" applyFont="1" applyFill="1" applyBorder="1" applyAlignment="1">
      <alignment horizontal="center"/>
    </xf>
    <xf numFmtId="4" fontId="7" fillId="0" borderId="30" xfId="0" applyNumberFormat="1" applyFont="1" applyFill="1" applyBorder="1"/>
    <xf numFmtId="4" fontId="7" fillId="0" borderId="31" xfId="0" applyNumberFormat="1" applyFont="1" applyFill="1" applyBorder="1"/>
    <xf numFmtId="167" fontId="16" fillId="0" borderId="0" xfId="3" applyNumberFormat="1" applyFont="1" applyFill="1" applyBorder="1" applyAlignment="1" applyProtection="1">
      <alignment vertical="center"/>
    </xf>
    <xf numFmtId="4" fontId="15" fillId="0" borderId="0" xfId="0" applyNumberFormat="1" applyFont="1" applyFill="1" applyAlignment="1">
      <alignment horizontal="center" vertical="center"/>
    </xf>
    <xf numFmtId="4" fontId="17" fillId="0" borderId="0" xfId="0" applyNumberFormat="1" applyFont="1" applyFill="1" applyAlignment="1">
      <alignment horizontal="center" vertical="center"/>
    </xf>
    <xf numFmtId="4" fontId="15" fillId="0" borderId="16" xfId="0" applyNumberFormat="1" applyFont="1" applyFill="1" applyBorder="1" applyAlignment="1" applyProtection="1">
      <alignment vertical="center"/>
    </xf>
    <xf numFmtId="4" fontId="7" fillId="3" borderId="0" xfId="0" applyNumberFormat="1" applyFont="1" applyFill="1" applyAlignment="1" applyProtection="1">
      <alignment vertical="center"/>
    </xf>
    <xf numFmtId="167" fontId="16" fillId="0" borderId="57" xfId="3" applyNumberFormat="1" applyFont="1" applyFill="1" applyBorder="1" applyAlignment="1" applyProtection="1">
      <alignment vertical="center"/>
    </xf>
    <xf numFmtId="4" fontId="16" fillId="0" borderId="57" xfId="0" applyNumberFormat="1" applyFont="1" applyFill="1" applyBorder="1" applyAlignment="1" applyProtection="1">
      <alignment vertical="center"/>
    </xf>
    <xf numFmtId="4" fontId="16" fillId="0" borderId="0" xfId="0" applyNumberFormat="1" applyFont="1" applyFill="1" applyAlignment="1">
      <alignment horizontal="center" vertical="center"/>
    </xf>
    <xf numFmtId="4" fontId="7" fillId="3" borderId="0" xfId="0" applyNumberFormat="1" applyFont="1" applyFill="1" applyBorder="1" applyAlignment="1" applyProtection="1">
      <alignment vertical="center"/>
    </xf>
    <xf numFmtId="4" fontId="7" fillId="4" borderId="3" xfId="0" applyNumberFormat="1" applyFont="1" applyFill="1" applyBorder="1" applyAlignment="1">
      <alignment vertical="center"/>
    </xf>
    <xf numFmtId="4" fontId="7" fillId="4" borderId="5" xfId="0" applyNumberFormat="1" applyFont="1" applyFill="1" applyBorder="1" applyAlignment="1">
      <alignment vertical="center"/>
    </xf>
    <xf numFmtId="4" fontId="7" fillId="4" borderId="13" xfId="0" applyNumberFormat="1" applyFont="1" applyFill="1" applyBorder="1" applyAlignment="1">
      <alignment vertical="center"/>
    </xf>
    <xf numFmtId="4" fontId="7" fillId="4" borderId="9" xfId="0" applyNumberFormat="1" applyFont="1" applyFill="1" applyBorder="1" applyAlignment="1">
      <alignment vertical="center"/>
    </xf>
    <xf numFmtId="4" fontId="7" fillId="3" borderId="0" xfId="0" applyNumberFormat="1" applyFont="1" applyFill="1" applyBorder="1" applyAlignment="1" applyProtection="1">
      <alignment horizontal="right" vertical="center"/>
    </xf>
    <xf numFmtId="4" fontId="17" fillId="0" borderId="0" xfId="3" applyNumberFormat="1" applyFont="1" applyFill="1" applyBorder="1" applyAlignment="1" applyProtection="1">
      <alignment horizontal="center" vertical="center"/>
    </xf>
    <xf numFmtId="4" fontId="21" fillId="0" borderId="5" xfId="0" applyNumberFormat="1" applyFont="1" applyFill="1" applyBorder="1" applyAlignment="1" applyProtection="1">
      <alignment vertical="center"/>
    </xf>
    <xf numFmtId="164" fontId="16" fillId="0" borderId="0" xfId="3" applyFont="1" applyFill="1" applyBorder="1" applyAlignment="1">
      <alignment horizontal="center" vertical="center"/>
    </xf>
    <xf numFmtId="164" fontId="16" fillId="0" borderId="0" xfId="3" applyFont="1" applyFill="1" applyBorder="1" applyAlignment="1" applyProtection="1">
      <alignment horizontal="center" vertical="center" wrapText="1"/>
    </xf>
    <xf numFmtId="10" fontId="16" fillId="0" borderId="0" xfId="3" applyNumberFormat="1" applyFont="1" applyFill="1" applyBorder="1" applyAlignment="1" applyProtection="1">
      <alignment horizontal="center" vertical="center"/>
    </xf>
    <xf numFmtId="10" fontId="17" fillId="0" borderId="0" xfId="3" applyNumberFormat="1" applyFont="1" applyFill="1" applyBorder="1" applyAlignment="1" applyProtection="1">
      <alignment horizontal="center" vertical="center"/>
    </xf>
    <xf numFmtId="4" fontId="17" fillId="0" borderId="13" xfId="0" applyNumberFormat="1" applyFont="1" applyFill="1" applyBorder="1" applyAlignment="1" applyProtection="1">
      <alignment horizontal="center" vertical="center"/>
    </xf>
    <xf numFmtId="4" fontId="17" fillId="0" borderId="11" xfId="0" applyNumberFormat="1" applyFont="1" applyFill="1" applyBorder="1" applyAlignment="1" applyProtection="1">
      <alignment horizontal="center" vertical="center"/>
    </xf>
    <xf numFmtId="4" fontId="7" fillId="0" borderId="51" xfId="0" applyNumberFormat="1" applyFont="1" applyFill="1" applyBorder="1" applyAlignment="1" applyProtection="1">
      <alignment horizontal="center" vertical="center" wrapText="1"/>
    </xf>
    <xf numFmtId="4" fontId="7" fillId="0" borderId="52" xfId="0" applyNumberFormat="1" applyFont="1" applyFill="1" applyBorder="1" applyAlignment="1" applyProtection="1">
      <alignment horizontal="center" vertical="center" wrapText="1"/>
    </xf>
    <xf numFmtId="4" fontId="7" fillId="0" borderId="53" xfId="0" applyNumberFormat="1" applyFont="1" applyFill="1" applyBorder="1" applyAlignment="1" applyProtection="1">
      <alignment horizontal="center" vertical="center" wrapText="1"/>
    </xf>
    <xf numFmtId="4" fontId="7" fillId="0" borderId="56" xfId="0" applyNumberFormat="1" applyFont="1" applyFill="1" applyBorder="1" applyAlignment="1" applyProtection="1">
      <alignment horizontal="center" vertical="center" wrapText="1"/>
    </xf>
    <xf numFmtId="4" fontId="7" fillId="0" borderId="42" xfId="0" applyNumberFormat="1" applyFont="1" applyFill="1" applyBorder="1" applyAlignment="1" applyProtection="1">
      <alignment horizontal="center" vertical="center" wrapText="1"/>
    </xf>
    <xf numFmtId="4" fontId="7" fillId="0" borderId="55" xfId="0" applyNumberFormat="1" applyFont="1" applyFill="1" applyBorder="1" applyAlignment="1" applyProtection="1">
      <alignment horizontal="center" vertical="center" wrapText="1"/>
    </xf>
    <xf numFmtId="3" fontId="15" fillId="0" borderId="54" xfId="0" quotePrefix="1" applyNumberFormat="1" applyFont="1" applyFill="1" applyBorder="1" applyAlignment="1" applyProtection="1">
      <alignment horizontal="center" vertical="center"/>
    </xf>
    <xf numFmtId="4" fontId="15" fillId="0" borderId="41" xfId="0" applyNumberFormat="1" applyFont="1" applyFill="1" applyBorder="1" applyAlignment="1" applyProtection="1">
      <alignment horizontal="left" vertical="center"/>
    </xf>
    <xf numFmtId="4" fontId="7" fillId="0" borderId="41" xfId="0" applyNumberFormat="1" applyFont="1" applyFill="1" applyBorder="1" applyAlignment="1" applyProtection="1">
      <alignment horizontal="center" vertical="center"/>
    </xf>
    <xf numFmtId="167" fontId="7" fillId="0" borderId="41" xfId="3" applyNumberFormat="1" applyFont="1" applyFill="1" applyBorder="1" applyAlignment="1" applyProtection="1">
      <alignment vertical="center"/>
    </xf>
    <xf numFmtId="167" fontId="15" fillId="0" borderId="41" xfId="3" applyNumberFormat="1" applyFont="1" applyFill="1" applyBorder="1" applyAlignment="1" applyProtection="1">
      <alignment horizontal="center" vertical="center"/>
    </xf>
    <xf numFmtId="10" fontId="15" fillId="0" borderId="60" xfId="7" applyNumberFormat="1" applyFont="1" applyFill="1" applyBorder="1" applyAlignment="1" applyProtection="1">
      <alignment horizontal="center" vertical="center"/>
    </xf>
    <xf numFmtId="3" fontId="15" fillId="0" borderId="50" xfId="0" quotePrefix="1" applyNumberFormat="1" applyFont="1" applyFill="1" applyBorder="1" applyAlignment="1" applyProtection="1">
      <alignment horizontal="center" vertical="center"/>
    </xf>
    <xf numFmtId="4" fontId="15" fillId="0" borderId="36" xfId="0" applyNumberFormat="1" applyFont="1" applyFill="1" applyBorder="1" applyAlignment="1" applyProtection="1">
      <alignment horizontal="left" vertical="center"/>
    </xf>
    <xf numFmtId="4" fontId="7" fillId="0" borderId="36" xfId="0" applyNumberFormat="1" applyFont="1" applyFill="1" applyBorder="1" applyAlignment="1" applyProtection="1">
      <alignment horizontal="center" vertical="center"/>
    </xf>
    <xf numFmtId="167" fontId="7" fillId="0" borderId="36" xfId="3" applyNumberFormat="1" applyFont="1" applyFill="1" applyBorder="1" applyAlignment="1" applyProtection="1">
      <alignment vertical="center"/>
    </xf>
    <xf numFmtId="167" fontId="15" fillId="0" borderId="36" xfId="3" applyNumberFormat="1" applyFont="1" applyFill="1" applyBorder="1" applyAlignment="1" applyProtection="1">
      <alignment horizontal="center" vertical="center"/>
    </xf>
    <xf numFmtId="10" fontId="15" fillId="0" borderId="61" xfId="7" applyNumberFormat="1" applyFont="1" applyFill="1" applyBorder="1" applyAlignment="1" applyProtection="1">
      <alignment horizontal="center" vertical="center"/>
    </xf>
    <xf numFmtId="167" fontId="7" fillId="0" borderId="40" xfId="3" applyNumberFormat="1" applyFont="1" applyFill="1" applyBorder="1" applyAlignment="1" applyProtection="1">
      <alignment vertical="top"/>
    </xf>
    <xf numFmtId="4" fontId="7" fillId="0" borderId="40" xfId="0" applyNumberFormat="1" applyFont="1" applyFill="1" applyBorder="1" applyAlignment="1" applyProtection="1">
      <alignment horizontal="left" vertical="center" wrapText="1"/>
    </xf>
    <xf numFmtId="167" fontId="7" fillId="0" borderId="40" xfId="3" applyNumberFormat="1" applyFont="1" applyFill="1" applyBorder="1" applyAlignment="1" applyProtection="1">
      <alignment horizontal="center" vertical="top"/>
    </xf>
    <xf numFmtId="4" fontId="7" fillId="0" borderId="44" xfId="0" quotePrefix="1" applyNumberFormat="1" applyFont="1" applyFill="1" applyBorder="1" applyAlignment="1" applyProtection="1">
      <alignment horizontal="center" vertical="center"/>
    </xf>
    <xf numFmtId="4" fontId="15" fillId="0" borderId="39" xfId="0" applyNumberFormat="1" applyFont="1" applyFill="1" applyBorder="1" applyAlignment="1" applyProtection="1">
      <alignment horizontal="left" vertical="center"/>
    </xf>
    <xf numFmtId="4" fontId="7" fillId="0" borderId="39" xfId="0" applyNumberFormat="1" applyFont="1" applyFill="1" applyBorder="1" applyAlignment="1" applyProtection="1">
      <alignment horizontal="center" vertical="center"/>
    </xf>
    <xf numFmtId="10" fontId="7" fillId="0" borderId="39" xfId="12" applyNumberFormat="1" applyFont="1" applyFill="1" applyBorder="1" applyAlignment="1" applyProtection="1">
      <alignment horizontal="center" vertical="center"/>
    </xf>
    <xf numFmtId="4" fontId="7" fillId="0" borderId="39" xfId="0" applyNumberFormat="1" applyFont="1" applyFill="1" applyBorder="1" applyAlignment="1">
      <alignment horizontal="center" vertical="center"/>
    </xf>
    <xf numFmtId="167" fontId="15" fillId="0" borderId="39" xfId="0" applyNumberFormat="1" applyFont="1" applyFill="1" applyBorder="1" applyAlignment="1">
      <alignment horizontal="center" vertical="center"/>
    </xf>
    <xf numFmtId="10" fontId="15" fillId="0" borderId="58" xfId="7" applyNumberFormat="1" applyFont="1" applyFill="1" applyBorder="1" applyAlignment="1" applyProtection="1">
      <alignment horizontal="center" vertical="center"/>
    </xf>
    <xf numFmtId="167" fontId="15" fillId="0" borderId="45" xfId="0" applyNumberFormat="1" applyFont="1" applyFill="1" applyBorder="1" applyAlignment="1">
      <alignment horizontal="center" vertical="center"/>
    </xf>
    <xf numFmtId="0" fontId="7" fillId="0" borderId="0" xfId="5" applyFont="1" applyFill="1"/>
    <xf numFmtId="4" fontId="7" fillId="0" borderId="5" xfId="0" applyNumberFormat="1" applyFont="1" applyFill="1" applyBorder="1" applyAlignment="1" applyProtection="1">
      <alignment vertical="center" wrapText="1"/>
    </xf>
  </cellXfs>
  <cellStyles count="36">
    <cellStyle name="Cabecera 1" xfId="22" xr:uid="{00000000-0005-0000-0000-000000000000}"/>
    <cellStyle name="Cabecera 2" xfId="23" xr:uid="{00000000-0005-0000-0000-000001000000}"/>
    <cellStyle name="Euro" xfId="1" xr:uid="{00000000-0005-0000-0000-000002000000}"/>
    <cellStyle name="Fecha" xfId="24" xr:uid="{00000000-0005-0000-0000-000003000000}"/>
    <cellStyle name="Fijo" xfId="25" xr:uid="{00000000-0005-0000-0000-000004000000}"/>
    <cellStyle name="Millares" xfId="2" builtinId="3"/>
    <cellStyle name="Millares 2" xfId="16" xr:uid="{00000000-0005-0000-0000-000006000000}"/>
    <cellStyle name="Millares 3" xfId="21" xr:uid="{00000000-0005-0000-0000-000007000000}"/>
    <cellStyle name="Moneda" xfId="3" builtinId="4"/>
    <cellStyle name="Moneda 2" xfId="6" xr:uid="{00000000-0005-0000-0000-000009000000}"/>
    <cellStyle name="Moneda 2 2" xfId="17" xr:uid="{00000000-0005-0000-0000-00000A000000}"/>
    <cellStyle name="Moneda 3" xfId="20" xr:uid="{00000000-0005-0000-0000-00000B000000}"/>
    <cellStyle name="Moneda 3 2" xfId="35" xr:uid="{00000000-0005-0000-0000-00000C000000}"/>
    <cellStyle name="Moneda 4" xfId="26" xr:uid="{00000000-0005-0000-0000-00000D000000}"/>
    <cellStyle name="Moneda_Hoja1" xfId="4" xr:uid="{00000000-0005-0000-0000-00000E000000}"/>
    <cellStyle name="Monetario0" xfId="27" xr:uid="{00000000-0005-0000-0000-00000F000000}"/>
    <cellStyle name="Normal" xfId="0" builtinId="0"/>
    <cellStyle name="Normal 2" xfId="5" xr:uid="{00000000-0005-0000-0000-000011000000}"/>
    <cellStyle name="Normal 2 2" xfId="19" xr:uid="{00000000-0005-0000-0000-000012000000}"/>
    <cellStyle name="Normal 2 3" xfId="15" xr:uid="{00000000-0005-0000-0000-000013000000}"/>
    <cellStyle name="Normal 2 3 2" xfId="34" xr:uid="{00000000-0005-0000-0000-000014000000}"/>
    <cellStyle name="Normal 3" xfId="8" xr:uid="{00000000-0005-0000-0000-000015000000}"/>
    <cellStyle name="Normal 4" xfId="9" xr:uid="{00000000-0005-0000-0000-000016000000}"/>
    <cellStyle name="Normal 4 2" xfId="13" xr:uid="{00000000-0005-0000-0000-000017000000}"/>
    <cellStyle name="Normal 4 2 2" xfId="32" xr:uid="{00000000-0005-0000-0000-000018000000}"/>
    <cellStyle name="Normal 4 3" xfId="11" xr:uid="{00000000-0005-0000-0000-000019000000}"/>
    <cellStyle name="Normal 4 3 2" xfId="31" xr:uid="{00000000-0005-0000-0000-00001A000000}"/>
    <cellStyle name="Normal 4 4" xfId="30" xr:uid="{00000000-0005-0000-0000-00001B000000}"/>
    <cellStyle name="Normal 5" xfId="14" xr:uid="{00000000-0005-0000-0000-00001C000000}"/>
    <cellStyle name="Normal 5 2" xfId="33" xr:uid="{00000000-0005-0000-0000-00001D000000}"/>
    <cellStyle name="Porcentaje" xfId="7" builtinId="5"/>
    <cellStyle name="Porcentaje 2" xfId="12" xr:uid="{00000000-0005-0000-0000-00001F000000}"/>
    <cellStyle name="Porcentaje 2 2" xfId="18" xr:uid="{00000000-0005-0000-0000-000020000000}"/>
    <cellStyle name="Porcentaje 3" xfId="10" xr:uid="{00000000-0005-0000-0000-000021000000}"/>
    <cellStyle name="Punto0" xfId="28" xr:uid="{00000000-0005-0000-0000-000022000000}"/>
    <cellStyle name="Total 2" xfId="29" xr:uid="{00000000-0005-0000-0000-000023000000}"/>
  </cellStyles>
  <dxfs count="4"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66FF33"/>
      <color rgb="FFCC99FF"/>
      <color rgb="FF00FF99"/>
      <color rgb="FFFFCCFF"/>
      <color rgb="FFFF99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 algn="l">
              <a:defRPr sz="1000"/>
            </a:pPr>
            <a:r>
              <a:rPr lang="es-AR" sz="1000"/>
              <a:t>CURVA DE AVANCE</a:t>
            </a:r>
          </a:p>
          <a:p>
            <a:pPr algn="l">
              <a:defRPr sz="1000"/>
            </a:pPr>
            <a:r>
              <a:rPr lang="es-AR" sz="1000"/>
              <a:t>ESTUDIO</a:t>
            </a:r>
            <a:r>
              <a:rPr lang="es-AR" sz="1000" baseline="0"/>
              <a:t> TV</a:t>
            </a:r>
            <a:endParaRPr lang="es-AR" sz="1000"/>
          </a:p>
          <a:p>
            <a:pPr algn="l">
              <a:defRPr sz="1000"/>
            </a:pPr>
            <a:r>
              <a:rPr lang="es-AR" sz="1000"/>
              <a:t>RESISTENCIA - CHACO</a:t>
            </a:r>
          </a:p>
        </c:rich>
      </c:tx>
      <c:layout>
        <c:manualLayout>
          <c:xMode val="edge"/>
          <c:yMode val="edge"/>
          <c:x val="4.8480058657686328E-2"/>
          <c:y val="1.054782293627437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617378637311871"/>
          <c:y val="0.15267760721828966"/>
          <c:w val="0.84921146290582639"/>
          <c:h val="0.74418339121751198"/>
        </c:manualLayout>
      </c:layout>
      <c:lineChart>
        <c:grouping val="standard"/>
        <c:varyColors val="0"/>
        <c:ser>
          <c:idx val="1"/>
          <c:order val="0"/>
          <c:tx>
            <c:v>CURVA DE AVANCE</c:v>
          </c:tx>
          <c:spPr>
            <a:ln>
              <a:solidFill>
                <a:sysClr val="windowText" lastClr="000000"/>
              </a:solidFill>
            </a:ln>
          </c:spPr>
          <c:marker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2"/>
              <c:layout>
                <c:manualLayout>
                  <c:x val="-9.8887515451175495E-3"/>
                  <c:y val="3.39558573853990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DE-418E-B077-419B98DF64C0}"/>
                </c:ext>
              </c:extLst>
            </c:dLbl>
            <c:dLbl>
              <c:idx val="3"/>
              <c:layout>
                <c:manualLayout>
                  <c:x val="-3.296250515039143E-3"/>
                  <c:y val="2.71646859083191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DE-418E-B077-419B98DF64C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'PLAN DE TRABAJO'!$E$80:$H$80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'PLAN DE TRABAJO'!$E$75:$H$75</c:f>
              <c:numCache>
                <c:formatCode>0.00%</c:formatCode>
                <c:ptCount val="4"/>
                <c:pt idx="0" formatCode="General">
                  <c:v>0</c:v>
                </c:pt>
                <c:pt idx="1">
                  <c:v>0.20303806051280296</c:v>
                </c:pt>
                <c:pt idx="2">
                  <c:v>0.63054070274393781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B-43DB-91BB-C1170F061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654080"/>
        <c:axId val="326656040"/>
      </c:lineChart>
      <c:catAx>
        <c:axId val="32665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MESES</a:t>
                </a:r>
              </a:p>
            </c:rich>
          </c:tx>
          <c:layout>
            <c:manualLayout>
              <c:xMode val="edge"/>
              <c:yMode val="edge"/>
              <c:x val="0.47933880605349866"/>
              <c:y val="0.8973063695874440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AR"/>
          </a:p>
        </c:txPr>
        <c:crossAx val="326656040"/>
        <c:crosses val="autoZero"/>
        <c:auto val="1"/>
        <c:lblAlgn val="ctr"/>
        <c:lblOffset val="100"/>
        <c:tickLblSkip val="1"/>
        <c:noMultiLvlLbl val="1"/>
      </c:catAx>
      <c:valAx>
        <c:axId val="326656040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Avance en %</a:t>
                </a:r>
              </a:p>
            </c:rich>
          </c:tx>
          <c:layout>
            <c:manualLayout>
              <c:xMode val="edge"/>
              <c:yMode val="edge"/>
              <c:x val="0"/>
              <c:y val="0.3518520977457919"/>
            </c:manualLayout>
          </c:layout>
          <c:overlay val="0"/>
        </c:title>
        <c:numFmt formatCode="0.00%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AR"/>
          </a:p>
        </c:txPr>
        <c:crossAx val="326654080"/>
        <c:crossesAt val="0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/>
      </a:pPr>
      <a:endParaRPr lang="es-AR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 algn="l">
              <a:defRPr sz="1000"/>
            </a:pPr>
            <a:r>
              <a:rPr lang="es-AR" sz="1000"/>
              <a:t>CURVA DE INVERSIÓN</a:t>
            </a:r>
          </a:p>
          <a:p>
            <a:pPr algn="l">
              <a:defRPr sz="1000"/>
            </a:pPr>
            <a:r>
              <a:rPr lang="es-AR" sz="1000"/>
              <a:t>ESTUDIO TV</a:t>
            </a:r>
          </a:p>
          <a:p>
            <a:pPr algn="l">
              <a:defRPr sz="1000"/>
            </a:pPr>
            <a:r>
              <a:rPr lang="es-AR" sz="1000"/>
              <a:t>RESISTENCIA - CHACO</a:t>
            </a:r>
            <a:endParaRPr lang="en-US" sz="1000"/>
          </a:p>
        </c:rich>
      </c:tx>
      <c:layout>
        <c:manualLayout>
          <c:xMode val="edge"/>
          <c:yMode val="edge"/>
          <c:x val="0.17895261643019261"/>
          <c:y val="1.613800517087830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366343337517593"/>
          <c:y val="0.15349285375202537"/>
          <c:w val="0.79815618699836433"/>
          <c:h val="0.75677569451800586"/>
        </c:manualLayout>
      </c:layout>
      <c:lineChart>
        <c:grouping val="standard"/>
        <c:varyColors val="0"/>
        <c:ser>
          <c:idx val="0"/>
          <c:order val="0"/>
          <c:tx>
            <c:v>CURVA DE INVERSIÓN</c:v>
          </c:tx>
          <c:spPr>
            <a:ln>
              <a:solidFill>
                <a:sysClr val="windowText" lastClr="000000"/>
              </a:solidFill>
            </a:ln>
          </c:spPr>
          <c:marker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'PLAN DE TRABAJO'!$E$80:$H$80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'PLAN DE TRABAJO'!$E$77:$H$77</c:f>
              <c:numCache>
                <c:formatCode>"$"#,##0.00_);[Red]\("$"#,##0.00\)</c:formatCode>
                <c:ptCount val="4"/>
                <c:pt idx="0" formatCode="General">
                  <c:v>0</c:v>
                </c:pt>
                <c:pt idx="1">
                  <c:v>61403727.765833393</c:v>
                </c:pt>
                <c:pt idx="2">
                  <c:v>190691092.88563472</c:v>
                </c:pt>
                <c:pt idx="3">
                  <c:v>302424715.89193231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5E89-4ADC-904C-B35309B04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654864"/>
        <c:axId val="326656432"/>
      </c:lineChart>
      <c:catAx>
        <c:axId val="32665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MESES</a:t>
                </a:r>
              </a:p>
            </c:rich>
          </c:tx>
          <c:layout>
            <c:manualLayout>
              <c:xMode val="edge"/>
              <c:yMode val="edge"/>
              <c:x val="0.50252724206575627"/>
              <c:y val="0.9511180160775867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AR"/>
          </a:p>
        </c:txPr>
        <c:crossAx val="326656432"/>
        <c:crosses val="autoZero"/>
        <c:auto val="1"/>
        <c:lblAlgn val="ctr"/>
        <c:lblOffset val="100"/>
        <c:tickLblSkip val="1"/>
        <c:noMultiLvlLbl val="1"/>
      </c:catAx>
      <c:valAx>
        <c:axId val="326656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Avance en %</a:t>
                </a:r>
              </a:p>
            </c:rich>
          </c:tx>
          <c:layout>
            <c:manualLayout>
              <c:xMode val="edge"/>
              <c:yMode val="edge"/>
              <c:x val="0"/>
              <c:y val="0.3518520977457919"/>
            </c:manualLayout>
          </c:layout>
          <c:overlay val="0"/>
        </c:title>
        <c:numFmt formatCode="&quot;$&quot;#,##0.00_);[Red]\(&quot;$&quot;#,##0.00\)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AR"/>
          </a:p>
        </c:txPr>
        <c:crossAx val="326654864"/>
        <c:crossesAt val="0"/>
        <c:crossBetween val="midCat"/>
      </c:valAx>
    </c:plotArea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66FF33"/>
  </sheetPr>
  <sheetViews>
    <sheetView workbookViewId="0"/>
  </sheetViews>
  <pageMargins left="1.1811023622047245" right="1.9685039370078741" top="0.98425196850393704" bottom="0.98425196850393704" header="0.51181102362204722" footer="0.51181102362204722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66FF33"/>
  </sheetPr>
  <sheetViews>
    <sheetView workbookViewId="0"/>
  </sheetViews>
  <pageMargins left="0.39370078740157483" right="0.39370078740157483" top="0.78740157480314965" bottom="0.39370078740157483" header="0.51181102362204722" footer="0.51181102362204722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705725" cy="56578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0.48025</cdr:x>
      <cdr:y>0.53</cdr:y>
    </cdr:from>
    <cdr:to>
      <cdr:x>0.48975</cdr:x>
      <cdr:y>0.56375</cdr:y>
    </cdr:to>
    <cdr:sp macro="" textlink="">
      <cdr:nvSpPr>
        <cdr:cNvPr id="82945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74501" y="2991588"/>
          <a:ext cx="76643" cy="190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AR"/>
        </a:p>
      </cdr:txBody>
    </cdr:sp>
  </cdr:relSizeAnchor>
  <cdr:relSizeAnchor xmlns:cdr="http://schemas.openxmlformats.org/drawingml/2006/chartDrawing">
    <cdr:from>
      <cdr:x>0.48025</cdr:x>
      <cdr:y>0.53</cdr:y>
    </cdr:from>
    <cdr:to>
      <cdr:x>0.48975</cdr:x>
      <cdr:y>0.56375</cdr:y>
    </cdr:to>
    <cdr:sp macro="" textlink="">
      <cdr:nvSpPr>
        <cdr:cNvPr id="2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74501" y="2991588"/>
          <a:ext cx="76643" cy="190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AR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858375" cy="6372225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0.48025</cdr:x>
      <cdr:y>0.53</cdr:y>
    </cdr:from>
    <cdr:to>
      <cdr:x>0.48975</cdr:x>
      <cdr:y>0.56375</cdr:y>
    </cdr:to>
    <cdr:sp macro="" textlink="">
      <cdr:nvSpPr>
        <cdr:cNvPr id="82945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74501" y="2991588"/>
          <a:ext cx="76643" cy="190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AR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lvia\ARQUITECTURA\MINISTERIO%20DE%20INFRAESTRUCTURA\CENTRO%20DE%20SALUD%20EDUARDO%20TUSSO%20-%20MARGARITA%20BELEN\Presup.CentroSalud-Margarita-15.09.2020-estudio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uesto"/>
      <sheetName val="Pl.trabajos con fecha "/>
      <sheetName val="Curva avance %"/>
      <sheetName val="Curva de Inv."/>
      <sheetName val="REVOQUES"/>
      <sheetName val="Macros"/>
      <sheetName val="Módulo1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I1999"/>
  <sheetViews>
    <sheetView tabSelected="1" topLeftCell="M97" zoomScale="70" zoomScaleNormal="70" workbookViewId="0">
      <selection activeCell="S13" sqref="S13"/>
    </sheetView>
  </sheetViews>
  <sheetFormatPr baseColWidth="10" defaultRowHeight="15.75" x14ac:dyDescent="0.2"/>
  <cols>
    <col min="1" max="1" width="2.7109375" style="135" customWidth="1"/>
    <col min="2" max="2" width="2.7109375" style="136" customWidth="1"/>
    <col min="3" max="3" width="2.7109375" style="137" customWidth="1"/>
    <col min="4" max="4" width="8.7109375" style="138" customWidth="1"/>
    <col min="5" max="5" width="9.28515625" style="135" customWidth="1"/>
    <col min="6" max="6" width="99.85546875" style="135" customWidth="1"/>
    <col min="7" max="7" width="4.5703125" style="139" bestFit="1" customWidth="1"/>
    <col min="8" max="8" width="13.42578125" style="139" customWidth="1"/>
    <col min="9" max="9" width="21.5703125" style="139" customWidth="1"/>
    <col min="10" max="10" width="22" style="135" customWidth="1"/>
    <col min="11" max="11" width="30.7109375" style="139" customWidth="1"/>
    <col min="12" max="12" width="17.85546875" style="141" customWidth="1"/>
    <col min="13" max="13" width="21.28515625" style="377" customWidth="1"/>
    <col min="14" max="14" width="2.7109375" style="137" customWidth="1"/>
    <col min="15" max="15" width="6.7109375" style="171" customWidth="1"/>
    <col min="16" max="16" width="50.7109375" style="167" customWidth="1"/>
    <col min="17" max="17" width="9.28515625" style="136" customWidth="1"/>
    <col min="18" max="18" width="12.28515625" style="136" customWidth="1"/>
    <col min="19" max="20" width="15.7109375" style="136" customWidth="1"/>
    <col min="21" max="21" width="16.140625" style="136" customWidth="1"/>
    <col min="22" max="22" width="15.7109375" style="136" customWidth="1"/>
    <col min="23" max="23" width="5.7109375" style="174" customWidth="1"/>
    <col min="24" max="24" width="67.5703125" style="167" customWidth="1"/>
    <col min="25" max="25" width="9.28515625" style="136" customWidth="1"/>
    <col min="26" max="26" width="12.28515625" style="136" customWidth="1"/>
    <col min="27" max="28" width="15.7109375" style="136" customWidth="1"/>
    <col min="29" max="29" width="13.42578125" style="136" customWidth="1"/>
    <col min="30" max="30" width="15" style="136" customWidth="1"/>
    <col min="31" max="31" width="16.85546875" style="136" customWidth="1"/>
    <col min="32" max="32" width="47.5703125" style="136" customWidth="1"/>
    <col min="33" max="33" width="12" style="136" customWidth="1"/>
    <col min="34" max="34" width="13.85546875" style="136" customWidth="1"/>
    <col min="35" max="35" width="12.42578125" style="136" customWidth="1"/>
    <col min="36" max="36" width="13.28515625" style="136" customWidth="1"/>
    <col min="37" max="37" width="16.42578125" style="136" customWidth="1"/>
    <col min="38" max="39" width="16.85546875" style="136" customWidth="1"/>
    <col min="40" max="40" width="62" style="136" customWidth="1"/>
    <col min="41" max="41" width="10" style="136" customWidth="1"/>
    <col min="42" max="42" width="12.85546875" style="136" customWidth="1"/>
    <col min="43" max="43" width="16.5703125" style="136" customWidth="1"/>
    <col min="44" max="44" width="18.140625" style="136" customWidth="1"/>
    <col min="45" max="45" width="16.42578125" style="136" customWidth="1"/>
    <col min="46" max="48" width="16.85546875" style="136" customWidth="1"/>
    <col min="49" max="49" width="54.5703125" style="136" customWidth="1"/>
    <col min="50" max="50" width="9.28515625" style="136" customWidth="1"/>
    <col min="51" max="51" width="12.28515625" style="136" customWidth="1"/>
    <col min="52" max="52" width="19.28515625" style="136" customWidth="1"/>
    <col min="53" max="53" width="18.85546875" style="136" customWidth="1"/>
    <col min="54" max="54" width="16.140625" style="136" customWidth="1"/>
    <col min="55" max="55" width="17" style="136" customWidth="1"/>
    <col min="56" max="56" width="50.7109375" style="167" customWidth="1"/>
    <col min="57" max="57" width="9.28515625" style="136" customWidth="1"/>
    <col min="58" max="58" width="12.28515625" style="136" customWidth="1"/>
    <col min="59" max="60" width="15.7109375" style="136" customWidth="1"/>
    <col min="61" max="61" width="14.28515625" style="136" customWidth="1"/>
    <col min="62" max="62" width="14.85546875" style="136" customWidth="1"/>
    <col min="63" max="63" width="9.28515625" style="139" customWidth="1"/>
    <col min="64" max="64" width="9.140625" style="135" customWidth="1"/>
    <col min="65" max="65" width="63.28515625" style="135" customWidth="1"/>
    <col min="66" max="66" width="25.42578125" style="135" bestFit="1" customWidth="1"/>
    <col min="67" max="67" width="14.42578125" style="139" customWidth="1"/>
    <col min="68" max="68" width="34.7109375" style="136" customWidth="1"/>
    <col min="69" max="70" width="10.7109375" style="139" customWidth="1"/>
    <col min="71" max="71" width="8.7109375" style="136" customWidth="1"/>
    <col min="72" max="72" width="55.85546875" style="149" customWidth="1"/>
    <col min="73" max="73" width="23.140625" style="136" bestFit="1" customWidth="1"/>
    <col min="74" max="74" width="12.5703125" style="136" bestFit="1" customWidth="1"/>
    <col min="75" max="75" width="11.85546875" style="136" customWidth="1"/>
    <col min="76" max="76" width="10.5703125" style="147" customWidth="1"/>
    <col min="77" max="77" width="15.140625" style="135" bestFit="1" customWidth="1"/>
    <col min="78" max="16384" width="11.42578125" style="135"/>
  </cols>
  <sheetData>
    <row r="1" spans="4:79" ht="18" customHeight="1" x14ac:dyDescent="0.2">
      <c r="I1" s="140"/>
      <c r="J1" s="140"/>
      <c r="O1" s="142"/>
      <c r="P1" s="136"/>
      <c r="W1" s="143"/>
      <c r="X1" s="136"/>
      <c r="BD1" s="136"/>
      <c r="BK1" s="144"/>
      <c r="BL1" s="145"/>
      <c r="BM1" s="146"/>
      <c r="BN1" s="145"/>
      <c r="BO1" s="145"/>
      <c r="BP1" s="145"/>
      <c r="BQ1" s="147"/>
      <c r="BR1" s="135"/>
      <c r="BS1" s="135"/>
      <c r="BT1" s="135"/>
      <c r="BU1" s="135"/>
      <c r="BV1" s="135"/>
      <c r="BW1" s="135"/>
      <c r="BX1" s="135"/>
    </row>
    <row r="2" spans="4:79" ht="18" customHeight="1" x14ac:dyDescent="0.2">
      <c r="E2" s="136"/>
      <c r="G2" s="148"/>
      <c r="H2" s="148"/>
      <c r="I2" s="140"/>
      <c r="J2" s="140"/>
      <c r="O2" s="142"/>
      <c r="P2" s="149"/>
      <c r="Q2" s="149"/>
      <c r="R2" s="149"/>
      <c r="S2" s="149"/>
      <c r="T2" s="149"/>
      <c r="U2" s="150"/>
      <c r="V2" s="150"/>
      <c r="W2" s="151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0"/>
      <c r="BI2" s="150"/>
      <c r="BJ2" s="148"/>
      <c r="BK2" s="144"/>
      <c r="BL2" s="155" t="s">
        <v>102</v>
      </c>
      <c r="BM2" s="156"/>
      <c r="BN2" s="156"/>
      <c r="BO2" s="157"/>
      <c r="BP2" s="158">
        <f>+$M$128</f>
        <v>1.5889659500000002</v>
      </c>
      <c r="BQ2" s="147"/>
      <c r="BR2" s="135"/>
      <c r="BS2" s="135"/>
      <c r="BT2" s="135"/>
      <c r="BU2" s="135"/>
      <c r="BV2" s="135"/>
      <c r="BW2" s="135"/>
      <c r="BX2" s="135"/>
    </row>
    <row r="3" spans="4:79" ht="18" customHeight="1" x14ac:dyDescent="0.2">
      <c r="E3" s="159"/>
      <c r="F3" s="160"/>
      <c r="G3" s="161"/>
      <c r="H3" s="161"/>
      <c r="I3" s="381" t="s">
        <v>67</v>
      </c>
      <c r="J3" s="382">
        <f>SUM(J1:J2)</f>
        <v>0</v>
      </c>
      <c r="K3" s="162"/>
      <c r="O3" s="142"/>
      <c r="P3" s="136"/>
      <c r="U3" s="148"/>
      <c r="V3" s="148"/>
      <c r="W3" s="143"/>
      <c r="X3" s="136"/>
      <c r="BD3" s="152"/>
      <c r="BE3" s="153"/>
      <c r="BF3" s="145"/>
      <c r="BG3" s="145"/>
      <c r="BH3" s="145"/>
      <c r="BI3" s="154"/>
      <c r="BK3" s="144"/>
      <c r="BL3" s="167" t="s">
        <v>444</v>
      </c>
      <c r="BM3" s="144"/>
      <c r="BN3" s="144"/>
      <c r="BO3" s="166"/>
      <c r="BP3" s="158"/>
      <c r="BQ3" s="147"/>
      <c r="BR3" s="135"/>
      <c r="BS3" s="135"/>
      <c r="BT3" s="135"/>
      <c r="BU3" s="135"/>
      <c r="BV3" s="135"/>
      <c r="BW3" s="135"/>
      <c r="BX3" s="135"/>
    </row>
    <row r="4" spans="4:79" ht="18" customHeight="1" x14ac:dyDescent="0.2">
      <c r="E4" s="167"/>
      <c r="F4" s="136"/>
      <c r="G4" s="148"/>
      <c r="H4" s="136"/>
      <c r="I4" s="168"/>
      <c r="J4" s="169"/>
      <c r="K4" s="170"/>
      <c r="P4" s="155" t="s">
        <v>341</v>
      </c>
      <c r="Q4" s="169"/>
      <c r="R4" s="172"/>
      <c r="S4" s="172"/>
      <c r="T4" s="173"/>
      <c r="U4" s="154"/>
      <c r="V4" s="135"/>
      <c r="W4" s="143"/>
      <c r="X4" s="155" t="s">
        <v>354</v>
      </c>
      <c r="Y4" s="169"/>
      <c r="Z4" s="172"/>
      <c r="AA4" s="172"/>
      <c r="AB4" s="173"/>
      <c r="AC4" s="154"/>
      <c r="AD4" s="135"/>
      <c r="AE4" s="174"/>
      <c r="AF4" s="155" t="s">
        <v>367</v>
      </c>
      <c r="AG4" s="169"/>
      <c r="AH4" s="172"/>
      <c r="AI4" s="172"/>
      <c r="AJ4" s="173"/>
      <c r="AK4" s="154"/>
      <c r="AL4" s="135"/>
      <c r="AM4" s="174"/>
      <c r="AN4" s="155" t="s">
        <v>385</v>
      </c>
      <c r="AO4" s="169"/>
      <c r="AP4" s="172"/>
      <c r="AQ4" s="172"/>
      <c r="AR4" s="173"/>
      <c r="AS4" s="154"/>
      <c r="AT4" s="135"/>
      <c r="AU4" s="174"/>
      <c r="AV4" s="143"/>
      <c r="AW4" s="155" t="s">
        <v>424</v>
      </c>
      <c r="AX4" s="169"/>
      <c r="AY4" s="172"/>
      <c r="AZ4" s="172"/>
      <c r="BA4" s="173"/>
      <c r="BB4" s="154"/>
      <c r="BC4" s="135"/>
      <c r="BD4" s="155" t="s">
        <v>435</v>
      </c>
      <c r="BE4" s="169"/>
      <c r="BF4" s="172"/>
      <c r="BG4" s="172"/>
      <c r="BH4" s="173"/>
      <c r="BI4" s="154"/>
      <c r="BJ4" s="175"/>
      <c r="BK4" s="144"/>
      <c r="BL4" s="167" t="s">
        <v>104</v>
      </c>
      <c r="BM4" s="207"/>
      <c r="BN4" s="207"/>
      <c r="BO4" s="413"/>
      <c r="BP4" s="176"/>
      <c r="BQ4" s="147"/>
      <c r="BR4" s="176"/>
      <c r="BS4" s="176"/>
      <c r="BT4" s="176"/>
      <c r="BU4" s="176"/>
      <c r="BV4" s="176"/>
      <c r="BW4" s="176"/>
      <c r="BX4" s="176"/>
      <c r="BY4" s="176"/>
      <c r="BZ4" s="176"/>
      <c r="CA4" s="176"/>
    </row>
    <row r="5" spans="4:79" ht="18" customHeight="1" x14ac:dyDescent="0.2">
      <c r="E5" s="167" t="s">
        <v>444</v>
      </c>
      <c r="F5" s="136"/>
      <c r="G5" s="148"/>
      <c r="H5" s="136"/>
      <c r="I5" s="136"/>
      <c r="J5" s="153"/>
      <c r="K5" s="170"/>
      <c r="P5" s="177" t="s">
        <v>342</v>
      </c>
      <c r="Q5" s="150"/>
      <c r="R5" s="178"/>
      <c r="S5" s="149"/>
      <c r="T5" s="179" t="str">
        <f>$G$13</f>
        <v>Gl</v>
      </c>
      <c r="U5" s="180">
        <f>$H$13</f>
        <v>1</v>
      </c>
      <c r="V5" s="163"/>
      <c r="W5" s="143"/>
      <c r="X5" s="177" t="s">
        <v>355</v>
      </c>
      <c r="Y5" s="150"/>
      <c r="Z5" s="178"/>
      <c r="AA5" s="149"/>
      <c r="AB5" s="179" t="str">
        <f>$G$27</f>
        <v>m3</v>
      </c>
      <c r="AC5" s="180">
        <f>$H$27</f>
        <v>1.878225</v>
      </c>
      <c r="AD5" s="163"/>
      <c r="AE5" s="174"/>
      <c r="AF5" s="177" t="s">
        <v>368</v>
      </c>
      <c r="AG5" s="150"/>
      <c r="AH5" s="178"/>
      <c r="AI5" s="149"/>
      <c r="AJ5" s="179" t="str">
        <f>$G$41</f>
        <v>m3</v>
      </c>
      <c r="AK5" s="180">
        <f>$H$41</f>
        <v>35.110000000000007</v>
      </c>
      <c r="AL5" s="163"/>
      <c r="AM5" s="174"/>
      <c r="AN5" s="177" t="s">
        <v>386</v>
      </c>
      <c r="AO5" s="150"/>
      <c r="AP5" s="178"/>
      <c r="AQ5" s="149"/>
      <c r="AR5" s="179" t="str">
        <f>$G$59</f>
        <v>m2</v>
      </c>
      <c r="AS5" s="180">
        <f>$H$59</f>
        <v>358.7</v>
      </c>
      <c r="AT5" s="163"/>
      <c r="AU5" s="174"/>
      <c r="AV5" s="143"/>
      <c r="AW5" s="177" t="s">
        <v>425</v>
      </c>
      <c r="AX5" s="150"/>
      <c r="AY5" s="178"/>
      <c r="AZ5" s="149"/>
      <c r="BA5" s="179" t="str">
        <f>$G$101</f>
        <v>Gl</v>
      </c>
      <c r="BB5" s="180">
        <f>$H$101</f>
        <v>1</v>
      </c>
      <c r="BC5" s="135"/>
      <c r="BD5" s="177" t="s">
        <v>436</v>
      </c>
      <c r="BE5" s="150"/>
      <c r="BF5" s="178"/>
      <c r="BG5" s="149"/>
      <c r="BH5" s="179" t="str">
        <f>$G$112</f>
        <v>Gl</v>
      </c>
      <c r="BI5" s="180">
        <f>$H$112</f>
        <v>1</v>
      </c>
      <c r="BJ5" s="181"/>
      <c r="BK5" s="144"/>
      <c r="BL5" s="167" t="s">
        <v>30</v>
      </c>
      <c r="BM5" s="207"/>
      <c r="BN5" s="207"/>
      <c r="BO5" s="413"/>
      <c r="BP5" s="176"/>
      <c r="BQ5" s="147"/>
      <c r="BR5" s="176"/>
      <c r="BS5" s="176"/>
      <c r="BT5" s="176"/>
      <c r="BU5" s="176"/>
      <c r="BV5" s="176"/>
      <c r="BW5" s="176"/>
      <c r="BX5" s="176"/>
      <c r="BY5" s="176"/>
      <c r="BZ5" s="176"/>
    </row>
    <row r="6" spans="4:79" ht="18" customHeight="1" thickBot="1" x14ac:dyDescent="0.25">
      <c r="E6" s="167" t="s">
        <v>104</v>
      </c>
      <c r="F6" s="136"/>
      <c r="G6" s="148"/>
      <c r="H6" s="136"/>
      <c r="I6" s="136"/>
      <c r="J6" s="153"/>
      <c r="K6" s="170"/>
      <c r="P6" s="183"/>
      <c r="Q6" s="184"/>
      <c r="R6" s="185"/>
      <c r="S6" s="185"/>
      <c r="T6" s="186"/>
      <c r="V6" s="145"/>
      <c r="W6" s="143"/>
      <c r="X6" s="183"/>
      <c r="Y6" s="184"/>
      <c r="Z6" s="185"/>
      <c r="AA6" s="185"/>
      <c r="AB6" s="186"/>
      <c r="AD6" s="145"/>
      <c r="AE6" s="174"/>
      <c r="AF6" s="183"/>
      <c r="AG6" s="184"/>
      <c r="AH6" s="185"/>
      <c r="AI6" s="185"/>
      <c r="AJ6" s="186"/>
      <c r="AL6" s="145"/>
      <c r="AM6" s="174"/>
      <c r="AN6" s="183"/>
      <c r="AO6" s="184"/>
      <c r="AP6" s="185"/>
      <c r="AQ6" s="185"/>
      <c r="AR6" s="186"/>
      <c r="AT6" s="145"/>
      <c r="AU6" s="174"/>
      <c r="AV6" s="143"/>
      <c r="AW6" s="183"/>
      <c r="AX6" s="184"/>
      <c r="AY6" s="185"/>
      <c r="AZ6" s="185"/>
      <c r="BA6" s="186"/>
      <c r="BC6" s="135"/>
      <c r="BD6" s="183"/>
      <c r="BE6" s="184"/>
      <c r="BF6" s="185"/>
      <c r="BG6" s="185"/>
      <c r="BH6" s="186"/>
      <c r="BJ6" s="181"/>
      <c r="BK6" s="145"/>
      <c r="BL6" s="167"/>
      <c r="BM6" s="195"/>
      <c r="BN6" s="195"/>
      <c r="BO6" s="195"/>
      <c r="BP6" s="188"/>
      <c r="BQ6" s="189"/>
      <c r="BR6" s="190"/>
      <c r="BS6" s="176"/>
      <c r="BT6" s="176"/>
      <c r="BU6" s="176"/>
      <c r="BV6" s="176"/>
      <c r="BW6" s="176"/>
      <c r="BX6" s="176"/>
      <c r="BY6" s="176"/>
      <c r="BZ6" s="176"/>
    </row>
    <row r="7" spans="4:79" ht="18" customHeight="1" thickTop="1" x14ac:dyDescent="0.2">
      <c r="E7" s="167" t="s">
        <v>30</v>
      </c>
      <c r="F7" s="136"/>
      <c r="G7" s="148"/>
      <c r="H7" s="136"/>
      <c r="I7" s="136"/>
      <c r="J7" s="153"/>
      <c r="K7" s="170"/>
      <c r="P7" s="191" t="s">
        <v>31</v>
      </c>
      <c r="Q7" s="192" t="s">
        <v>32</v>
      </c>
      <c r="R7" s="192" t="s">
        <v>33</v>
      </c>
      <c r="S7" s="192" t="s">
        <v>1</v>
      </c>
      <c r="T7" s="192" t="s">
        <v>34</v>
      </c>
      <c r="U7" s="193" t="s">
        <v>76</v>
      </c>
      <c r="V7" s="153"/>
      <c r="W7" s="143"/>
      <c r="X7" s="191" t="s">
        <v>31</v>
      </c>
      <c r="Y7" s="192" t="s">
        <v>32</v>
      </c>
      <c r="Z7" s="192" t="s">
        <v>33</v>
      </c>
      <c r="AA7" s="192" t="s">
        <v>1</v>
      </c>
      <c r="AB7" s="192" t="s">
        <v>34</v>
      </c>
      <c r="AC7" s="193" t="s">
        <v>76</v>
      </c>
      <c r="AD7" s="153"/>
      <c r="AE7" s="174"/>
      <c r="AF7" s="191" t="s">
        <v>31</v>
      </c>
      <c r="AG7" s="192" t="s">
        <v>32</v>
      </c>
      <c r="AH7" s="192" t="s">
        <v>33</v>
      </c>
      <c r="AI7" s="192" t="s">
        <v>1</v>
      </c>
      <c r="AJ7" s="192" t="s">
        <v>34</v>
      </c>
      <c r="AK7" s="193" t="s">
        <v>76</v>
      </c>
      <c r="AL7" s="153"/>
      <c r="AM7" s="174"/>
      <c r="AN7" s="191" t="s">
        <v>31</v>
      </c>
      <c r="AO7" s="192" t="s">
        <v>32</v>
      </c>
      <c r="AP7" s="192" t="s">
        <v>33</v>
      </c>
      <c r="AQ7" s="192" t="s">
        <v>1</v>
      </c>
      <c r="AR7" s="192" t="s">
        <v>34</v>
      </c>
      <c r="AS7" s="193" t="s">
        <v>76</v>
      </c>
      <c r="AT7" s="153"/>
      <c r="AU7" s="174"/>
      <c r="AV7" s="174"/>
      <c r="AW7" s="191" t="s">
        <v>31</v>
      </c>
      <c r="AX7" s="192" t="s">
        <v>32</v>
      </c>
      <c r="AY7" s="192" t="s">
        <v>33</v>
      </c>
      <c r="AZ7" s="192" t="s">
        <v>1</v>
      </c>
      <c r="BA7" s="192" t="s">
        <v>34</v>
      </c>
      <c r="BB7" s="193" t="s">
        <v>76</v>
      </c>
      <c r="BC7" s="135"/>
      <c r="BD7" s="191" t="s">
        <v>31</v>
      </c>
      <c r="BE7" s="192" t="s">
        <v>32</v>
      </c>
      <c r="BF7" s="192" t="s">
        <v>33</v>
      </c>
      <c r="BG7" s="192" t="s">
        <v>1</v>
      </c>
      <c r="BH7" s="192" t="s">
        <v>34</v>
      </c>
      <c r="BI7" s="193" t="s">
        <v>76</v>
      </c>
      <c r="BJ7" s="194"/>
      <c r="BK7" s="164"/>
      <c r="BL7" s="203" t="s">
        <v>40</v>
      </c>
      <c r="BM7" s="204" t="s">
        <v>41</v>
      </c>
      <c r="BN7" s="204" t="s">
        <v>42</v>
      </c>
      <c r="BO7" s="205" t="s">
        <v>43</v>
      </c>
      <c r="BP7" s="176"/>
      <c r="BQ7" s="189"/>
      <c r="BR7" s="176"/>
      <c r="BS7" s="176"/>
      <c r="BT7" s="176"/>
      <c r="BU7" s="176"/>
      <c r="BV7" s="176"/>
      <c r="BW7" s="176"/>
      <c r="BX7" s="176"/>
      <c r="BY7" s="176"/>
      <c r="BZ7" s="176"/>
    </row>
    <row r="8" spans="4:79" ht="18" customHeight="1" x14ac:dyDescent="0.2">
      <c r="E8" s="196" t="s">
        <v>29</v>
      </c>
      <c r="F8" s="136"/>
      <c r="G8" s="148"/>
      <c r="H8" s="136"/>
      <c r="I8" s="136"/>
      <c r="J8" s="153"/>
      <c r="K8" s="170"/>
      <c r="P8" s="197" t="s">
        <v>37</v>
      </c>
      <c r="Q8" s="198"/>
      <c r="R8" s="199"/>
      <c r="S8" s="199"/>
      <c r="T8" s="200"/>
      <c r="U8" s="201"/>
      <c r="V8" s="194"/>
      <c r="W8" s="143"/>
      <c r="X8" s="197" t="s">
        <v>37</v>
      </c>
      <c r="Y8" s="198"/>
      <c r="Z8" s="199"/>
      <c r="AA8" s="199"/>
      <c r="AB8" s="200"/>
      <c r="AC8" s="201"/>
      <c r="AD8" s="153"/>
      <c r="AE8" s="174"/>
      <c r="AF8" s="197" t="s">
        <v>37</v>
      </c>
      <c r="AG8" s="198"/>
      <c r="AH8" s="199"/>
      <c r="AI8" s="199"/>
      <c r="AJ8" s="200"/>
      <c r="AK8" s="201"/>
      <c r="AL8" s="153"/>
      <c r="AM8" s="174"/>
      <c r="AN8" s="197" t="s">
        <v>37</v>
      </c>
      <c r="AO8" s="198"/>
      <c r="AP8" s="199"/>
      <c r="AQ8" s="199"/>
      <c r="AR8" s="200"/>
      <c r="AS8" s="201"/>
      <c r="AT8" s="153"/>
      <c r="AU8" s="174"/>
      <c r="AV8" s="143"/>
      <c r="AW8" s="197" t="s">
        <v>37</v>
      </c>
      <c r="AX8" s="198"/>
      <c r="AY8" s="199"/>
      <c r="AZ8" s="199"/>
      <c r="BA8" s="200"/>
      <c r="BB8" s="201"/>
      <c r="BC8" s="135"/>
      <c r="BD8" s="197" t="s">
        <v>37</v>
      </c>
      <c r="BE8" s="198"/>
      <c r="BF8" s="199"/>
      <c r="BG8" s="199"/>
      <c r="BH8" s="200"/>
      <c r="BI8" s="201"/>
      <c r="BJ8" s="194"/>
      <c r="BK8" s="164"/>
      <c r="BL8" s="218" t="s">
        <v>47</v>
      </c>
      <c r="BM8" s="219"/>
      <c r="BN8" s="219"/>
      <c r="BO8" s="220" t="s">
        <v>48</v>
      </c>
      <c r="BP8" s="176"/>
      <c r="BQ8" s="189"/>
      <c r="BR8" s="176"/>
      <c r="BS8" s="176"/>
      <c r="BT8" s="176"/>
      <c r="BU8" s="176"/>
      <c r="BV8" s="176"/>
      <c r="BW8" s="176"/>
      <c r="BX8" s="176"/>
      <c r="BY8" s="176"/>
      <c r="BZ8" s="176"/>
    </row>
    <row r="9" spans="4:79" ht="18" customHeight="1" thickBot="1" x14ac:dyDescent="0.25">
      <c r="E9" s="167"/>
      <c r="F9" s="207"/>
      <c r="G9" s="208"/>
      <c r="H9" s="208"/>
      <c r="I9" s="208"/>
      <c r="J9" s="208"/>
      <c r="K9" s="209"/>
      <c r="L9" s="210"/>
      <c r="M9" s="378"/>
      <c r="O9" s="211"/>
      <c r="P9" s="212"/>
      <c r="Q9" s="213"/>
      <c r="R9" s="214"/>
      <c r="S9" s="214"/>
      <c r="T9" s="215">
        <f>+ROUND(R9*S9,2)</f>
        <v>0</v>
      </c>
      <c r="U9" s="201"/>
      <c r="V9" s="176"/>
      <c r="W9" s="143"/>
      <c r="X9" s="216" t="s">
        <v>204</v>
      </c>
      <c r="Y9" s="213" t="s">
        <v>15</v>
      </c>
      <c r="Z9" s="214">
        <v>1.1000000000000001</v>
      </c>
      <c r="AA9" s="214">
        <v>27425</v>
      </c>
      <c r="AB9" s="215">
        <f t="shared" ref="AB9:AB14" si="0">+ROUND(Z9*AA9,2)</f>
        <v>30167.5</v>
      </c>
      <c r="AC9" s="201"/>
      <c r="AD9" s="176"/>
      <c r="AE9" s="174"/>
      <c r="AF9" s="130" t="s">
        <v>224</v>
      </c>
      <c r="AG9" s="131" t="s">
        <v>20</v>
      </c>
      <c r="AH9" s="132">
        <v>290</v>
      </c>
      <c r="AI9" s="132">
        <v>37.450000000000003</v>
      </c>
      <c r="AJ9" s="215">
        <f>+ROUND(AH9*AI9,2)</f>
        <v>10860.5</v>
      </c>
      <c r="AK9" s="201"/>
      <c r="AL9" s="176"/>
      <c r="AM9" s="174"/>
      <c r="AN9" s="216" t="s">
        <v>248</v>
      </c>
      <c r="AO9" s="213" t="s">
        <v>6</v>
      </c>
      <c r="AP9" s="214">
        <v>1.05</v>
      </c>
      <c r="AQ9" s="214">
        <v>31126.300000000003</v>
      </c>
      <c r="AR9" s="215">
        <f>+ROUND(AP9*AQ9,2)</f>
        <v>32682.62</v>
      </c>
      <c r="AS9" s="201"/>
      <c r="AT9" s="176"/>
      <c r="AU9" s="174"/>
      <c r="AV9" s="143"/>
      <c r="AW9" s="216" t="s">
        <v>263</v>
      </c>
      <c r="AX9" s="213" t="s">
        <v>66</v>
      </c>
      <c r="AY9" s="214">
        <v>1</v>
      </c>
      <c r="AZ9" s="214">
        <v>13504596</v>
      </c>
      <c r="BA9" s="215">
        <f>+ROUND(AY9*AZ9,2)</f>
        <v>13504596</v>
      </c>
      <c r="BB9" s="201"/>
      <c r="BC9" s="135"/>
      <c r="BD9" s="216"/>
      <c r="BE9" s="213"/>
      <c r="BF9" s="214"/>
      <c r="BG9" s="214"/>
      <c r="BH9" s="217">
        <f>ROUND((BG9*BF9),2)</f>
        <v>0</v>
      </c>
      <c r="BI9" s="201"/>
      <c r="BJ9" s="194"/>
      <c r="BK9" s="164"/>
      <c r="BL9" s="227"/>
      <c r="BM9" s="228"/>
      <c r="BN9" s="229"/>
      <c r="BO9" s="230"/>
      <c r="BP9" s="176"/>
      <c r="BQ9" s="189"/>
      <c r="BR9" s="176"/>
      <c r="BS9" s="176"/>
      <c r="BT9" s="176"/>
      <c r="BU9" s="176"/>
      <c r="BV9" s="176"/>
      <c r="BW9" s="176"/>
      <c r="BX9" s="176"/>
      <c r="BY9" s="176"/>
      <c r="BZ9" s="176"/>
    </row>
    <row r="10" spans="4:79" ht="18" customHeight="1" thickTop="1" x14ac:dyDescent="0.2">
      <c r="E10" s="383" t="s">
        <v>36</v>
      </c>
      <c r="F10" s="384" t="s">
        <v>31</v>
      </c>
      <c r="G10" s="384" t="s">
        <v>35</v>
      </c>
      <c r="H10" s="384" t="s">
        <v>33</v>
      </c>
      <c r="I10" s="384" t="s">
        <v>92</v>
      </c>
      <c r="J10" s="384" t="s">
        <v>93</v>
      </c>
      <c r="K10" s="385" t="s">
        <v>94</v>
      </c>
      <c r="L10" s="385" t="s">
        <v>111</v>
      </c>
      <c r="M10" s="378"/>
      <c r="P10" s="221"/>
      <c r="Q10" s="222"/>
      <c r="R10" s="219"/>
      <c r="S10" s="219"/>
      <c r="T10" s="223">
        <f>+ROUND(R10*S10,2)</f>
        <v>0</v>
      </c>
      <c r="U10" s="201"/>
      <c r="V10" s="153"/>
      <c r="W10" s="143"/>
      <c r="X10" s="216" t="s">
        <v>205</v>
      </c>
      <c r="Y10" s="213" t="s">
        <v>39</v>
      </c>
      <c r="Z10" s="214">
        <v>120</v>
      </c>
      <c r="AA10" s="214">
        <v>390.35069070016306</v>
      </c>
      <c r="AB10" s="215">
        <f t="shared" si="0"/>
        <v>46842.080000000002</v>
      </c>
      <c r="AC10" s="201"/>
      <c r="AD10" s="176"/>
      <c r="AE10" s="174"/>
      <c r="AF10" s="130" t="s">
        <v>223</v>
      </c>
      <c r="AG10" s="131" t="s">
        <v>39</v>
      </c>
      <c r="AH10" s="132">
        <v>90</v>
      </c>
      <c r="AI10" s="132">
        <v>26.528938000000004</v>
      </c>
      <c r="AJ10" s="215">
        <f t="shared" ref="AJ10:AJ13" si="1">+ROUND(AH10*AI10,2)</f>
        <v>2387.6</v>
      </c>
      <c r="AK10" s="133"/>
      <c r="AL10" s="176"/>
      <c r="AM10" s="174"/>
      <c r="AN10" s="224" t="s">
        <v>50</v>
      </c>
      <c r="AO10" s="225" t="s">
        <v>28</v>
      </c>
      <c r="AP10" s="226">
        <v>0.03</v>
      </c>
      <c r="AQ10" s="219">
        <v>32682.62</v>
      </c>
      <c r="AR10" s="223">
        <f>+ROUND(AP10*AQ10,2)</f>
        <v>980.48</v>
      </c>
      <c r="AS10" s="201"/>
      <c r="AT10" s="153"/>
      <c r="AU10" s="174"/>
      <c r="AV10" s="143"/>
      <c r="AW10" s="216" t="s">
        <v>264</v>
      </c>
      <c r="AX10" s="213" t="s">
        <v>66</v>
      </c>
      <c r="AY10" s="214">
        <v>1</v>
      </c>
      <c r="AZ10" s="214">
        <v>94532.172000000006</v>
      </c>
      <c r="BA10" s="215">
        <f>+ROUND(AY10*AZ10,2)</f>
        <v>94532.17</v>
      </c>
      <c r="BB10" s="201"/>
      <c r="BC10" s="135"/>
      <c r="BD10" s="216"/>
      <c r="BE10" s="213"/>
      <c r="BF10" s="214"/>
      <c r="BG10" s="214"/>
      <c r="BH10" s="217">
        <f>ROUND((BG10*BF10),2)</f>
        <v>0</v>
      </c>
      <c r="BI10" s="201"/>
      <c r="BJ10" s="194"/>
      <c r="BK10" s="164"/>
      <c r="BL10" s="236">
        <f>+$E$12</f>
        <v>1</v>
      </c>
      <c r="BM10" s="237" t="str">
        <f>$F$12</f>
        <v>TRABAJOS PREPARATORIOS</v>
      </c>
      <c r="BN10" s="238">
        <f>+$K$12*$BP$2</f>
        <v>452975.5169137771</v>
      </c>
      <c r="BO10" s="239">
        <f t="shared" ref="BO10:BO27" si="2">BN10/$BN$30</f>
        <v>1.4978124905493579E-3</v>
      </c>
      <c r="BP10" s="176"/>
      <c r="BQ10" s="231"/>
      <c r="BR10" s="176"/>
      <c r="BS10" s="176"/>
      <c r="BT10" s="176"/>
      <c r="BU10" s="176"/>
      <c r="BV10" s="176"/>
      <c r="BW10" s="176"/>
      <c r="BX10" s="176"/>
      <c r="BY10" s="176"/>
      <c r="BZ10" s="176"/>
    </row>
    <row r="11" spans="4:79" ht="18" customHeight="1" thickBot="1" x14ac:dyDescent="0.25">
      <c r="E11" s="386"/>
      <c r="F11" s="387"/>
      <c r="G11" s="387"/>
      <c r="H11" s="387"/>
      <c r="I11" s="387"/>
      <c r="J11" s="387"/>
      <c r="K11" s="388"/>
      <c r="L11" s="388"/>
      <c r="M11" s="378"/>
      <c r="P11" s="232" t="s">
        <v>51</v>
      </c>
      <c r="Q11" s="233"/>
      <c r="R11" s="234"/>
      <c r="S11" s="234"/>
      <c r="T11" s="235">
        <f>SUM(T9:T10)</f>
        <v>0</v>
      </c>
      <c r="U11" s="235"/>
      <c r="V11" s="194"/>
      <c r="W11" s="143"/>
      <c r="X11" s="216" t="s">
        <v>206</v>
      </c>
      <c r="Y11" s="213" t="s">
        <v>39</v>
      </c>
      <c r="Z11" s="214">
        <v>1</v>
      </c>
      <c r="AA11" s="214">
        <v>739.04184999999995</v>
      </c>
      <c r="AB11" s="215">
        <f t="shared" si="0"/>
        <v>739.04</v>
      </c>
      <c r="AC11" s="201"/>
      <c r="AD11" s="176"/>
      <c r="AE11" s="174"/>
      <c r="AF11" s="130" t="s">
        <v>45</v>
      </c>
      <c r="AG11" s="131" t="s">
        <v>46</v>
      </c>
      <c r="AH11" s="132">
        <v>0.36</v>
      </c>
      <c r="AI11" s="132">
        <v>2066.1157024793388</v>
      </c>
      <c r="AJ11" s="215">
        <f t="shared" si="1"/>
        <v>743.8</v>
      </c>
      <c r="AK11" s="134"/>
      <c r="AL11" s="176"/>
      <c r="AM11" s="174"/>
      <c r="AN11" s="232" t="s">
        <v>51</v>
      </c>
      <c r="AO11" s="233"/>
      <c r="AP11" s="234"/>
      <c r="AQ11" s="234"/>
      <c r="AR11" s="235">
        <f>SUM(AR9:AR10)</f>
        <v>33663.1</v>
      </c>
      <c r="AS11" s="235"/>
      <c r="AT11" s="194"/>
      <c r="AU11" s="174"/>
      <c r="AV11" s="143"/>
      <c r="AW11" s="224" t="s">
        <v>50</v>
      </c>
      <c r="AX11" s="225" t="s">
        <v>28</v>
      </c>
      <c r="AY11" s="226">
        <v>0.03</v>
      </c>
      <c r="AZ11" s="219">
        <v>13599128.17</v>
      </c>
      <c r="BA11" s="215">
        <f>+ROUND(AY11*AZ11,2)</f>
        <v>407973.85</v>
      </c>
      <c r="BB11" s="201"/>
      <c r="BC11" s="135"/>
      <c r="BD11" s="224" t="s">
        <v>50</v>
      </c>
      <c r="BE11" s="225" t="s">
        <v>28</v>
      </c>
      <c r="BF11" s="226">
        <v>0.03</v>
      </c>
      <c r="BG11" s="226">
        <v>0</v>
      </c>
      <c r="BH11" s="217">
        <f>ROUND((BG11*BF11),2)</f>
        <v>0</v>
      </c>
      <c r="BI11" s="201"/>
      <c r="BJ11" s="194"/>
      <c r="BK11" s="164"/>
      <c r="BL11" s="236">
        <f>+$E$15</f>
        <v>2</v>
      </c>
      <c r="BM11" s="237" t="str">
        <f>$F$15</f>
        <v>DEMOLICIONES</v>
      </c>
      <c r="BN11" s="238">
        <f>+$K$15*$BP$2</f>
        <v>622029.59263881168</v>
      </c>
      <c r="BO11" s="239">
        <f t="shared" si="2"/>
        <v>2.0568080581783075E-3</v>
      </c>
      <c r="BP11" s="176"/>
      <c r="BQ11" s="231"/>
      <c r="BR11" s="176"/>
      <c r="BS11" s="176"/>
      <c r="BT11" s="176"/>
      <c r="BU11" s="176"/>
      <c r="BV11" s="176"/>
      <c r="BW11" s="176"/>
      <c r="BX11" s="176"/>
      <c r="BY11" s="176"/>
      <c r="BZ11" s="176"/>
    </row>
    <row r="12" spans="4:79" ht="18" customHeight="1" thickTop="1" x14ac:dyDescent="0.2">
      <c r="D12" s="240"/>
      <c r="E12" s="389">
        <v>1</v>
      </c>
      <c r="F12" s="390" t="s">
        <v>90</v>
      </c>
      <c r="G12" s="391"/>
      <c r="H12" s="391"/>
      <c r="I12" s="392"/>
      <c r="J12" s="392"/>
      <c r="K12" s="393">
        <f>SUM(J13:J14)</f>
        <v>285075.66000000003</v>
      </c>
      <c r="L12" s="394">
        <f>+K12/$K$120</f>
        <v>1.4978124905493579E-3</v>
      </c>
      <c r="M12" s="340"/>
      <c r="P12" s="197" t="s">
        <v>53</v>
      </c>
      <c r="Q12" s="198"/>
      <c r="R12" s="199"/>
      <c r="S12" s="199"/>
      <c r="T12" s="200"/>
      <c r="U12" s="153"/>
      <c r="V12" s="194"/>
      <c r="W12" s="143"/>
      <c r="X12" s="216" t="s">
        <v>207</v>
      </c>
      <c r="Y12" s="213" t="s">
        <v>39</v>
      </c>
      <c r="Z12" s="214">
        <v>1</v>
      </c>
      <c r="AA12" s="214">
        <v>684.56365000000005</v>
      </c>
      <c r="AB12" s="215">
        <f t="shared" si="0"/>
        <v>684.56</v>
      </c>
      <c r="AC12" s="201"/>
      <c r="AD12" s="176"/>
      <c r="AE12" s="174"/>
      <c r="AF12" s="130" t="s">
        <v>205</v>
      </c>
      <c r="AG12" s="131" t="s">
        <v>39</v>
      </c>
      <c r="AH12" s="132">
        <v>1.05</v>
      </c>
      <c r="AI12" s="132">
        <v>27.236208000000001</v>
      </c>
      <c r="AJ12" s="215">
        <f t="shared" si="1"/>
        <v>28.6</v>
      </c>
      <c r="AK12" s="134"/>
      <c r="AL12" s="176"/>
      <c r="AM12" s="174"/>
      <c r="AN12" s="197" t="s">
        <v>53</v>
      </c>
      <c r="AO12" s="198"/>
      <c r="AP12" s="199"/>
      <c r="AQ12" s="199"/>
      <c r="AR12" s="200"/>
      <c r="AS12" s="241"/>
      <c r="AT12" s="194"/>
      <c r="AU12" s="174"/>
      <c r="AV12" s="143"/>
      <c r="AW12" s="232" t="s">
        <v>51</v>
      </c>
      <c r="AX12" s="233"/>
      <c r="AY12" s="234"/>
      <c r="AZ12" s="234"/>
      <c r="BA12" s="235">
        <f>SUM(BA9:BA11)</f>
        <v>14007102.02</v>
      </c>
      <c r="BB12" s="235"/>
      <c r="BC12" s="135"/>
      <c r="BD12" s="232" t="s">
        <v>51</v>
      </c>
      <c r="BE12" s="233"/>
      <c r="BF12" s="234"/>
      <c r="BG12" s="234"/>
      <c r="BH12" s="235">
        <f>SUM(BH9:BH11)</f>
        <v>0</v>
      </c>
      <c r="BI12" s="235"/>
      <c r="BJ12" s="194"/>
      <c r="BK12" s="164"/>
      <c r="BL12" s="236">
        <f>+$E$23</f>
        <v>3</v>
      </c>
      <c r="BM12" s="237" t="str">
        <f>$F$23</f>
        <v>MOVIMIENTO DE SUELO</v>
      </c>
      <c r="BN12" s="238">
        <f>+$K$23*$BP$2</f>
        <v>113182.6325359015</v>
      </c>
      <c r="BO12" s="239">
        <f t="shared" si="2"/>
        <v>3.7425060383075934E-4</v>
      </c>
      <c r="BP12" s="176"/>
      <c r="BQ12" s="231"/>
      <c r="BR12" s="176"/>
      <c r="BS12" s="176"/>
      <c r="BT12" s="176"/>
      <c r="BU12" s="176"/>
      <c r="BV12" s="176"/>
      <c r="BW12" s="176"/>
      <c r="BX12" s="176"/>
      <c r="BY12" s="176"/>
      <c r="BZ12" s="176"/>
    </row>
    <row r="13" spans="4:79" ht="18" customHeight="1" x14ac:dyDescent="0.2">
      <c r="D13" s="240"/>
      <c r="E13" s="242" t="s">
        <v>3</v>
      </c>
      <c r="F13" s="243" t="s">
        <v>121</v>
      </c>
      <c r="G13" s="244" t="s">
        <v>11</v>
      </c>
      <c r="H13" s="244">
        <v>1</v>
      </c>
      <c r="I13" s="245">
        <f>+$T$23</f>
        <v>121923</v>
      </c>
      <c r="J13" s="245">
        <f>ROUND(I13*H13,2)</f>
        <v>121923</v>
      </c>
      <c r="K13" s="246"/>
      <c r="L13" s="247">
        <f>+J13/$K$120</f>
        <v>6.4059412257521156E-4</v>
      </c>
      <c r="M13" s="379">
        <f>+L13</f>
        <v>6.4059412257521156E-4</v>
      </c>
      <c r="P13" s="224" t="s">
        <v>54</v>
      </c>
      <c r="Q13" s="225" t="s">
        <v>55</v>
      </c>
      <c r="R13" s="226"/>
      <c r="S13" s="226">
        <v>1600.8</v>
      </c>
      <c r="T13" s="215">
        <f>+ROUND(R13*S13,2)</f>
        <v>0</v>
      </c>
      <c r="U13" s="194"/>
      <c r="V13" s="194"/>
      <c r="W13" s="143"/>
      <c r="X13" s="216" t="s">
        <v>208</v>
      </c>
      <c r="Y13" s="213" t="s">
        <v>6</v>
      </c>
      <c r="Z13" s="214">
        <v>1.1000000000000001</v>
      </c>
      <c r="AA13" s="214">
        <v>3370</v>
      </c>
      <c r="AB13" s="215">
        <f t="shared" si="0"/>
        <v>3707</v>
      </c>
      <c r="AC13" s="201"/>
      <c r="AD13" s="176"/>
      <c r="AE13" s="174"/>
      <c r="AF13" s="224" t="s">
        <v>50</v>
      </c>
      <c r="AG13" s="225" t="s">
        <v>28</v>
      </c>
      <c r="AH13" s="226">
        <v>0.03</v>
      </c>
      <c r="AI13" s="219">
        <v>14020.5</v>
      </c>
      <c r="AJ13" s="215">
        <f t="shared" si="1"/>
        <v>420.62</v>
      </c>
      <c r="AK13" s="201"/>
      <c r="AL13" s="153"/>
      <c r="AM13" s="174"/>
      <c r="AN13" s="224" t="s">
        <v>54</v>
      </c>
      <c r="AO13" s="225" t="s">
        <v>55</v>
      </c>
      <c r="AP13" s="226"/>
      <c r="AQ13" s="226">
        <v>1600.8</v>
      </c>
      <c r="AR13" s="215">
        <f>+ROUND(AP13*AQ13,2)</f>
        <v>0</v>
      </c>
      <c r="AS13" s="194"/>
      <c r="AT13" s="194"/>
      <c r="AU13" s="174"/>
      <c r="AV13" s="143"/>
      <c r="AW13" s="197" t="s">
        <v>53</v>
      </c>
      <c r="AX13" s="198"/>
      <c r="AY13" s="199"/>
      <c r="AZ13" s="199"/>
      <c r="BA13" s="200"/>
      <c r="BB13" s="153"/>
      <c r="BC13" s="135"/>
      <c r="BD13" s="197" t="s">
        <v>53</v>
      </c>
      <c r="BE13" s="198"/>
      <c r="BF13" s="199"/>
      <c r="BG13" s="199"/>
      <c r="BH13" s="200"/>
      <c r="BI13" s="153"/>
      <c r="BJ13" s="194"/>
      <c r="BK13" s="164"/>
      <c r="BL13" s="236">
        <f>+$E$25</f>
        <v>4</v>
      </c>
      <c r="BM13" s="237" t="str">
        <f>$F$25</f>
        <v>ESTRUCTURA RESISTENTE</v>
      </c>
      <c r="BN13" s="238">
        <f>+$K$25*$BP$2</f>
        <v>21249055.851561468</v>
      </c>
      <c r="BO13" s="239">
        <f t="shared" si="2"/>
        <v>7.0262299127544031E-2</v>
      </c>
      <c r="BP13" s="176"/>
      <c r="BQ13" s="231"/>
      <c r="BR13" s="176"/>
      <c r="BS13" s="176"/>
      <c r="BT13" s="176"/>
      <c r="BU13" s="176"/>
      <c r="BV13" s="176"/>
      <c r="BW13" s="176"/>
      <c r="BX13" s="176"/>
      <c r="BY13" s="176"/>
      <c r="BZ13" s="176"/>
    </row>
    <row r="14" spans="4:79" ht="18" customHeight="1" x14ac:dyDescent="0.2">
      <c r="D14" s="240"/>
      <c r="E14" s="242" t="s">
        <v>16</v>
      </c>
      <c r="F14" s="243" t="s">
        <v>134</v>
      </c>
      <c r="G14" s="244" t="s">
        <v>6</v>
      </c>
      <c r="H14" s="244">
        <v>8.64</v>
      </c>
      <c r="I14" s="245">
        <f>+$T$44</f>
        <v>18883.41</v>
      </c>
      <c r="J14" s="245">
        <f>ROUND(I14*H14,2)</f>
        <v>163152.66</v>
      </c>
      <c r="K14" s="246"/>
      <c r="L14" s="247">
        <f>+J14/$K$120</f>
        <v>8.5721836797414614E-4</v>
      </c>
      <c r="M14" s="379">
        <f t="shared" ref="M14:M75" si="3">+L14</f>
        <v>8.5721836797414614E-4</v>
      </c>
      <c r="P14" s="224" t="s">
        <v>56</v>
      </c>
      <c r="Q14" s="225" t="s">
        <v>55</v>
      </c>
      <c r="R14" s="226">
        <v>90</v>
      </c>
      <c r="S14" s="226">
        <v>1354.6999999999998</v>
      </c>
      <c r="T14" s="215">
        <f>+ROUND(R14*S14,2)</f>
        <v>121923</v>
      </c>
      <c r="U14" s="194"/>
      <c r="V14" s="194"/>
      <c r="W14" s="143"/>
      <c r="X14" s="224" t="s">
        <v>50</v>
      </c>
      <c r="Y14" s="225" t="s">
        <v>28</v>
      </c>
      <c r="Z14" s="226">
        <v>0.03</v>
      </c>
      <c r="AA14" s="219">
        <v>51972.68</v>
      </c>
      <c r="AB14" s="223">
        <f t="shared" si="0"/>
        <v>1559.18</v>
      </c>
      <c r="AC14" s="201"/>
      <c r="AD14" s="153"/>
      <c r="AE14" s="174"/>
      <c r="AF14" s="232" t="s">
        <v>51</v>
      </c>
      <c r="AG14" s="233"/>
      <c r="AH14" s="234"/>
      <c r="AI14" s="234"/>
      <c r="AJ14" s="235">
        <f>SUM(AJ9:AJ13)</f>
        <v>14441.12</v>
      </c>
      <c r="AK14" s="235"/>
      <c r="AL14" s="194"/>
      <c r="AM14" s="174"/>
      <c r="AN14" s="224" t="s">
        <v>56</v>
      </c>
      <c r="AO14" s="225" t="s">
        <v>55</v>
      </c>
      <c r="AP14" s="226"/>
      <c r="AQ14" s="226">
        <v>1354.6999999999998</v>
      </c>
      <c r="AR14" s="215">
        <f>+ROUND(AP14*AQ14,2)</f>
        <v>0</v>
      </c>
      <c r="AS14" s="194"/>
      <c r="AT14" s="194"/>
      <c r="AU14" s="174"/>
      <c r="AV14" s="143"/>
      <c r="AW14" s="224" t="s">
        <v>54</v>
      </c>
      <c r="AX14" s="225" t="s">
        <v>55</v>
      </c>
      <c r="AY14" s="226">
        <v>40</v>
      </c>
      <c r="AZ14" s="226">
        <v>1600.8</v>
      </c>
      <c r="BA14" s="215">
        <f>+ROUND(AY14*AZ14,2)</f>
        <v>64032</v>
      </c>
      <c r="BB14" s="194"/>
      <c r="BC14" s="135"/>
      <c r="BD14" s="224" t="s">
        <v>54</v>
      </c>
      <c r="BE14" s="225" t="s">
        <v>55</v>
      </c>
      <c r="BF14" s="226"/>
      <c r="BG14" s="226">
        <v>1600.8</v>
      </c>
      <c r="BH14" s="215">
        <f>+ROUND(BF14*BG14,2)</f>
        <v>0</v>
      </c>
      <c r="BI14" s="194"/>
      <c r="BJ14" s="194"/>
      <c r="BK14" s="164"/>
      <c r="BL14" s="236">
        <f>+$E$40</f>
        <v>5</v>
      </c>
      <c r="BM14" s="237" t="str">
        <f>$F$40</f>
        <v>MAMPOSTERIA</v>
      </c>
      <c r="BN14" s="238">
        <f>+$K$40*$BP$2</f>
        <v>2318511.5889141643</v>
      </c>
      <c r="BO14" s="239">
        <f t="shared" si="2"/>
        <v>7.6664090832531543E-3</v>
      </c>
      <c r="BP14" s="176"/>
      <c r="BQ14" s="231"/>
      <c r="BR14" s="176"/>
      <c r="BS14" s="176"/>
      <c r="BT14" s="176"/>
      <c r="BU14" s="176"/>
      <c r="BV14" s="176"/>
      <c r="BW14" s="176"/>
      <c r="BX14" s="176"/>
      <c r="BY14" s="176"/>
      <c r="BZ14" s="176"/>
    </row>
    <row r="15" spans="4:79" ht="18" customHeight="1" x14ac:dyDescent="0.2">
      <c r="D15" s="240"/>
      <c r="E15" s="395">
        <v>2</v>
      </c>
      <c r="F15" s="396" t="s">
        <v>126</v>
      </c>
      <c r="G15" s="397"/>
      <c r="H15" s="398"/>
      <c r="I15" s="398"/>
      <c r="J15" s="398"/>
      <c r="K15" s="399">
        <f>SUM(J16:J22)</f>
        <v>391468.17000000004</v>
      </c>
      <c r="L15" s="400">
        <f>+K15/$K$120</f>
        <v>2.0568080581783075E-3</v>
      </c>
      <c r="M15" s="379"/>
      <c r="P15" s="248"/>
      <c r="Q15" s="249"/>
      <c r="R15" s="219"/>
      <c r="S15" s="219"/>
      <c r="T15" s="215"/>
      <c r="U15" s="194"/>
      <c r="W15" s="143"/>
      <c r="X15" s="232" t="s">
        <v>51</v>
      </c>
      <c r="Y15" s="233"/>
      <c r="Z15" s="234"/>
      <c r="AA15" s="234"/>
      <c r="AB15" s="235">
        <f>SUM(AB9:AB14)</f>
        <v>83699.359999999986</v>
      </c>
      <c r="AC15" s="235"/>
      <c r="AD15" s="194"/>
      <c r="AE15" s="174"/>
      <c r="AF15" s="197" t="s">
        <v>53</v>
      </c>
      <c r="AG15" s="198"/>
      <c r="AH15" s="199"/>
      <c r="AI15" s="199"/>
      <c r="AJ15" s="200"/>
      <c r="AK15" s="241"/>
      <c r="AL15" s="194"/>
      <c r="AM15" s="174"/>
      <c r="AN15" s="248"/>
      <c r="AO15" s="249"/>
      <c r="AP15" s="219"/>
      <c r="AQ15" s="219"/>
      <c r="AR15" s="215"/>
      <c r="AS15" s="194"/>
      <c r="AU15" s="174"/>
      <c r="AV15" s="143"/>
      <c r="AW15" s="224" t="s">
        <v>56</v>
      </c>
      <c r="AX15" s="225" t="s">
        <v>55</v>
      </c>
      <c r="AY15" s="226">
        <v>40</v>
      </c>
      <c r="AZ15" s="226">
        <v>1354.6999999999998</v>
      </c>
      <c r="BA15" s="215">
        <f>+ROUND(AY15*AZ15,2)</f>
        <v>54188</v>
      </c>
      <c r="BB15" s="194"/>
      <c r="BC15" s="135"/>
      <c r="BD15" s="224" t="s">
        <v>56</v>
      </c>
      <c r="BE15" s="225" t="s">
        <v>55</v>
      </c>
      <c r="BF15" s="226">
        <v>120</v>
      </c>
      <c r="BG15" s="226">
        <v>1354.6999999999998</v>
      </c>
      <c r="BH15" s="215">
        <f>+ROUND(BF15*BG15,2)</f>
        <v>162564</v>
      </c>
      <c r="BI15" s="194"/>
      <c r="BK15" s="164"/>
      <c r="BL15" s="236">
        <f>+$E$45</f>
        <v>6</v>
      </c>
      <c r="BM15" s="237" t="str">
        <f>$F$45</f>
        <v>AISLACION</v>
      </c>
      <c r="BN15" s="238">
        <f>+$K$45*$BP$2</f>
        <v>2548671.9879299253</v>
      </c>
      <c r="BO15" s="239">
        <f t="shared" si="2"/>
        <v>8.4274593113634975E-3</v>
      </c>
      <c r="BP15" s="176"/>
      <c r="BQ15" s="231"/>
      <c r="BR15" s="176"/>
      <c r="BS15" s="176"/>
      <c r="BT15" s="176"/>
      <c r="BU15" s="176"/>
      <c r="BV15" s="176"/>
      <c r="BW15" s="176"/>
      <c r="BX15" s="176"/>
      <c r="BY15" s="176"/>
      <c r="BZ15" s="176"/>
    </row>
    <row r="16" spans="4:79" ht="18" customHeight="1" x14ac:dyDescent="0.2">
      <c r="D16" s="149"/>
      <c r="E16" s="242" t="s">
        <v>5</v>
      </c>
      <c r="F16" s="243" t="s">
        <v>119</v>
      </c>
      <c r="G16" s="244" t="s">
        <v>6</v>
      </c>
      <c r="H16" s="244">
        <v>289.58</v>
      </c>
      <c r="I16" s="245">
        <f>+$T$62</f>
        <v>547.76</v>
      </c>
      <c r="J16" s="245">
        <f t="shared" ref="J16:J21" si="4">ROUND(I16*H16,2)</f>
        <v>158620.34</v>
      </c>
      <c r="K16" s="246"/>
      <c r="L16" s="247">
        <f t="shared" ref="L16:L22" si="5">+J16/$K$120</f>
        <v>8.33405161658438E-4</v>
      </c>
      <c r="M16" s="379">
        <f t="shared" si="3"/>
        <v>8.33405161658438E-4</v>
      </c>
      <c r="P16" s="232" t="s">
        <v>57</v>
      </c>
      <c r="Q16" s="233"/>
      <c r="R16" s="234"/>
      <c r="S16" s="234"/>
      <c r="T16" s="235">
        <f>SUM(T13:T15)</f>
        <v>121923</v>
      </c>
      <c r="V16" s="149"/>
      <c r="W16" s="143"/>
      <c r="X16" s="197" t="s">
        <v>53</v>
      </c>
      <c r="Y16" s="198"/>
      <c r="Z16" s="199"/>
      <c r="AA16" s="199"/>
      <c r="AB16" s="200"/>
      <c r="AC16" s="241"/>
      <c r="AD16" s="194"/>
      <c r="AE16" s="174"/>
      <c r="AF16" s="224" t="s">
        <v>54</v>
      </c>
      <c r="AG16" s="225" t="s">
        <v>55</v>
      </c>
      <c r="AH16" s="226">
        <v>8</v>
      </c>
      <c r="AI16" s="226">
        <v>1600.8</v>
      </c>
      <c r="AJ16" s="215">
        <f>+ROUND(AH16*AI16,2)</f>
        <v>12806.4</v>
      </c>
      <c r="AK16" s="194"/>
      <c r="AL16" s="194"/>
      <c r="AM16" s="174"/>
      <c r="AN16" s="232" t="s">
        <v>57</v>
      </c>
      <c r="AO16" s="233"/>
      <c r="AP16" s="234"/>
      <c r="AQ16" s="234"/>
      <c r="AR16" s="235">
        <f>SUM(AR13:AR15)</f>
        <v>0</v>
      </c>
      <c r="AT16" s="149"/>
      <c r="AU16" s="174"/>
      <c r="AV16" s="143"/>
      <c r="AW16" s="248"/>
      <c r="AX16" s="249"/>
      <c r="AY16" s="219"/>
      <c r="AZ16" s="219"/>
      <c r="BA16" s="215"/>
      <c r="BB16" s="194"/>
      <c r="BC16" s="135"/>
      <c r="BD16" s="248"/>
      <c r="BE16" s="249"/>
      <c r="BF16" s="219"/>
      <c r="BG16" s="219"/>
      <c r="BH16" s="215"/>
      <c r="BI16" s="194"/>
      <c r="BK16" s="164"/>
      <c r="BL16" s="236">
        <f>+$E$48</f>
        <v>7</v>
      </c>
      <c r="BM16" s="237" t="str">
        <f>$F$48</f>
        <v>REVOQUE</v>
      </c>
      <c r="BN16" s="238">
        <f>+$K$48*$BP$2</f>
        <v>2406120.7360850661</v>
      </c>
      <c r="BO16" s="239">
        <f t="shared" si="2"/>
        <v>7.9560981945168245E-3</v>
      </c>
      <c r="BP16" s="176"/>
      <c r="BQ16" s="231"/>
      <c r="BR16" s="176"/>
      <c r="BS16" s="176"/>
      <c r="BT16" s="176"/>
      <c r="BU16" s="176"/>
      <c r="BV16" s="176"/>
      <c r="BW16" s="176"/>
      <c r="BX16" s="176"/>
      <c r="BY16" s="176"/>
      <c r="BZ16" s="176"/>
    </row>
    <row r="17" spans="4:78" ht="18" customHeight="1" x14ac:dyDescent="0.2">
      <c r="D17" s="149"/>
      <c r="E17" s="242" t="s">
        <v>18</v>
      </c>
      <c r="F17" s="271" t="s">
        <v>127</v>
      </c>
      <c r="G17" s="244" t="s">
        <v>20</v>
      </c>
      <c r="H17" s="244">
        <v>2</v>
      </c>
      <c r="I17" s="245">
        <f>+$T$80</f>
        <v>3171.11</v>
      </c>
      <c r="J17" s="245">
        <f t="shared" si="4"/>
        <v>6342.22</v>
      </c>
      <c r="K17" s="246"/>
      <c r="L17" s="247">
        <f t="shared" si="5"/>
        <v>3.3322579464735598E-5</v>
      </c>
      <c r="M17" s="379">
        <f t="shared" si="3"/>
        <v>3.3322579464735598E-5</v>
      </c>
      <c r="P17" s="202"/>
      <c r="Q17" s="250"/>
      <c r="R17" s="168"/>
      <c r="S17" s="168"/>
      <c r="T17" s="251"/>
      <c r="V17" s="149"/>
      <c r="W17" s="143"/>
      <c r="X17" s="224" t="s">
        <v>54</v>
      </c>
      <c r="Y17" s="225" t="s">
        <v>55</v>
      </c>
      <c r="Z17" s="226">
        <v>12</v>
      </c>
      <c r="AA17" s="226">
        <v>1600.8</v>
      </c>
      <c r="AB17" s="215">
        <f>+ROUND(Z17*AA17,2)</f>
        <v>19209.599999999999</v>
      </c>
      <c r="AC17" s="194"/>
      <c r="AD17" s="194"/>
      <c r="AE17" s="174"/>
      <c r="AF17" s="224" t="s">
        <v>56</v>
      </c>
      <c r="AG17" s="225" t="s">
        <v>55</v>
      </c>
      <c r="AH17" s="226">
        <v>8</v>
      </c>
      <c r="AI17" s="226">
        <v>1354.6999999999998</v>
      </c>
      <c r="AJ17" s="215">
        <f>+ROUND(AH17*AI17,2)</f>
        <v>10837.6</v>
      </c>
      <c r="AK17" s="194"/>
      <c r="AL17" s="194"/>
      <c r="AM17" s="174"/>
      <c r="AN17" s="197" t="s">
        <v>58</v>
      </c>
      <c r="AO17" s="198"/>
      <c r="AP17" s="199"/>
      <c r="AQ17" s="199"/>
      <c r="AR17" s="200"/>
      <c r="AS17" s="153"/>
      <c r="AU17" s="174"/>
      <c r="AV17" s="143"/>
      <c r="AW17" s="232" t="s">
        <v>57</v>
      </c>
      <c r="AX17" s="233"/>
      <c r="AY17" s="234"/>
      <c r="AZ17" s="234"/>
      <c r="BA17" s="235">
        <f>SUM(BA14:BA16)</f>
        <v>118220</v>
      </c>
      <c r="BB17" s="138">
        <f>+BA17/BA12</f>
        <v>8.4400042086649994E-3</v>
      </c>
      <c r="BC17" s="135"/>
      <c r="BD17" s="232" t="s">
        <v>57</v>
      </c>
      <c r="BE17" s="233"/>
      <c r="BF17" s="234"/>
      <c r="BG17" s="234"/>
      <c r="BH17" s="235">
        <f>SUM(BH14:BH16)</f>
        <v>162564</v>
      </c>
      <c r="BJ17" s="149"/>
      <c r="BK17" s="164"/>
      <c r="BL17" s="236">
        <f>+$E$52</f>
        <v>8</v>
      </c>
      <c r="BM17" s="237" t="str">
        <f>$F$52</f>
        <v>REVESTIMIENTO</v>
      </c>
      <c r="BN17" s="238">
        <f>+$K$52*$BP$2</f>
        <v>34097.032403648504</v>
      </c>
      <c r="BO17" s="239">
        <f t="shared" si="2"/>
        <v>1.1274552181718062E-4</v>
      </c>
      <c r="BP17" s="176"/>
      <c r="BQ17" s="231"/>
      <c r="BR17" s="176"/>
      <c r="BS17" s="176"/>
      <c r="BT17" s="176"/>
      <c r="BU17" s="176"/>
      <c r="BV17" s="176"/>
      <c r="BW17" s="176"/>
      <c r="BX17" s="176"/>
      <c r="BY17" s="176"/>
      <c r="BZ17" s="176"/>
    </row>
    <row r="18" spans="4:78" ht="18" customHeight="1" x14ac:dyDescent="0.2">
      <c r="D18" s="149"/>
      <c r="E18" s="242" t="s">
        <v>112</v>
      </c>
      <c r="F18" s="271" t="s">
        <v>129</v>
      </c>
      <c r="G18" s="244" t="s">
        <v>6</v>
      </c>
      <c r="H18" s="244">
        <v>23.04</v>
      </c>
      <c r="I18" s="245">
        <f>+T98</f>
        <v>1915.5099999999998</v>
      </c>
      <c r="J18" s="245">
        <f t="shared" si="4"/>
        <v>44133.35</v>
      </c>
      <c r="K18" s="246"/>
      <c r="L18" s="247">
        <f t="shared" si="5"/>
        <v>2.3188048702504622E-4</v>
      </c>
      <c r="M18" s="379">
        <f t="shared" si="3"/>
        <v>2.3188048702504622E-4</v>
      </c>
      <c r="P18" s="197" t="s">
        <v>58</v>
      </c>
      <c r="Q18" s="198"/>
      <c r="R18" s="199"/>
      <c r="S18" s="199"/>
      <c r="T18" s="200"/>
      <c r="U18" s="153"/>
      <c r="W18" s="143"/>
      <c r="X18" s="224" t="s">
        <v>56</v>
      </c>
      <c r="Y18" s="225" t="s">
        <v>55</v>
      </c>
      <c r="Z18" s="226">
        <v>12</v>
      </c>
      <c r="AA18" s="226">
        <v>1354.6999999999998</v>
      </c>
      <c r="AB18" s="215">
        <f>+ROUND(Z18*AA18,2)</f>
        <v>16256.4</v>
      </c>
      <c r="AC18" s="194"/>
      <c r="AD18" s="194"/>
      <c r="AE18" s="174"/>
      <c r="AF18" s="248"/>
      <c r="AG18" s="249"/>
      <c r="AH18" s="219"/>
      <c r="AI18" s="219"/>
      <c r="AJ18" s="215"/>
      <c r="AK18" s="194"/>
      <c r="AM18" s="174"/>
      <c r="AN18" s="252" t="s">
        <v>59</v>
      </c>
      <c r="AO18" s="213" t="s">
        <v>60</v>
      </c>
      <c r="AP18" s="226">
        <v>60</v>
      </c>
      <c r="AQ18" s="226">
        <v>1.9600688000000004</v>
      </c>
      <c r="AR18" s="215">
        <f>+ROUND(AP18*AQ18,2)</f>
        <v>117.6</v>
      </c>
      <c r="AS18" s="194"/>
      <c r="AU18" s="174"/>
      <c r="AV18" s="143"/>
      <c r="AW18" s="197" t="s">
        <v>58</v>
      </c>
      <c r="AX18" s="198"/>
      <c r="AY18" s="199"/>
      <c r="AZ18" s="199"/>
      <c r="BA18" s="200"/>
      <c r="BB18" s="153"/>
      <c r="BC18" s="135"/>
      <c r="BD18" s="197" t="s">
        <v>58</v>
      </c>
      <c r="BE18" s="198"/>
      <c r="BF18" s="199"/>
      <c r="BG18" s="199"/>
      <c r="BH18" s="200"/>
      <c r="BI18" s="153"/>
      <c r="BK18" s="164"/>
      <c r="BL18" s="236">
        <f>+$E$54</f>
        <v>9</v>
      </c>
      <c r="BM18" s="237" t="str">
        <f>$F$54</f>
        <v>CUBIERTA DE CHº Gº</v>
      </c>
      <c r="BN18" s="238">
        <f>+$K$54*$BP$2</f>
        <v>1304592.924688268</v>
      </c>
      <c r="BO18" s="239">
        <f t="shared" si="2"/>
        <v>4.3137774663709961E-3</v>
      </c>
      <c r="BP18" s="176"/>
      <c r="BQ18" s="231"/>
      <c r="BR18" s="176"/>
      <c r="BS18" s="176"/>
      <c r="BT18" s="176"/>
      <c r="BU18" s="176"/>
      <c r="BV18" s="176"/>
      <c r="BW18" s="176"/>
      <c r="BX18" s="176"/>
      <c r="BY18" s="176"/>
      <c r="BZ18" s="176"/>
    </row>
    <row r="19" spans="4:78" ht="18" customHeight="1" x14ac:dyDescent="0.2">
      <c r="D19" s="149"/>
      <c r="E19" s="242" t="s">
        <v>128</v>
      </c>
      <c r="F19" s="271" t="s">
        <v>211</v>
      </c>
      <c r="G19" s="244" t="s">
        <v>4</v>
      </c>
      <c r="H19" s="244">
        <v>18.77</v>
      </c>
      <c r="I19" s="245">
        <f>+$T$116</f>
        <v>470.21999999999997</v>
      </c>
      <c r="J19" s="245">
        <f t="shared" si="4"/>
        <v>8826.0300000000007</v>
      </c>
      <c r="K19" s="246"/>
      <c r="L19" s="247">
        <f t="shared" si="5"/>
        <v>4.6372734788944617E-5</v>
      </c>
      <c r="M19" s="379">
        <f t="shared" si="3"/>
        <v>4.6372734788944617E-5</v>
      </c>
      <c r="P19" s="252" t="s">
        <v>59</v>
      </c>
      <c r="Q19" s="213" t="s">
        <v>60</v>
      </c>
      <c r="R19" s="226">
        <v>0</v>
      </c>
      <c r="S19" s="226">
        <v>1.9600688000000004</v>
      </c>
      <c r="T19" s="215">
        <f>+ROUND(R19*S19,2)</f>
        <v>0</v>
      </c>
      <c r="U19" s="194"/>
      <c r="W19" s="143"/>
      <c r="X19" s="248"/>
      <c r="Y19" s="249"/>
      <c r="Z19" s="219"/>
      <c r="AA19" s="219"/>
      <c r="AB19" s="215"/>
      <c r="AC19" s="194"/>
      <c r="AE19" s="174"/>
      <c r="AF19" s="232" t="s">
        <v>57</v>
      </c>
      <c r="AG19" s="233"/>
      <c r="AH19" s="234"/>
      <c r="AI19" s="234"/>
      <c r="AJ19" s="235">
        <f>SUM(AJ16:AJ18)</f>
        <v>23644</v>
      </c>
      <c r="AL19" s="149"/>
      <c r="AM19" s="174"/>
      <c r="AN19" s="202" t="s">
        <v>62</v>
      </c>
      <c r="AO19" s="250"/>
      <c r="AP19" s="168"/>
      <c r="AQ19" s="168"/>
      <c r="AR19" s="251">
        <f>SUM(AR18:AR18)</f>
        <v>117.6</v>
      </c>
      <c r="AS19" s="194"/>
      <c r="AT19" s="135"/>
      <c r="AU19" s="174"/>
      <c r="AV19" s="143"/>
      <c r="AW19" s="252" t="s">
        <v>59</v>
      </c>
      <c r="AX19" s="213" t="s">
        <v>60</v>
      </c>
      <c r="AY19" s="226">
        <v>360</v>
      </c>
      <c r="AZ19" s="226">
        <v>1.9600688000000004</v>
      </c>
      <c r="BA19" s="215">
        <f>+ROUND(AY19*AZ19,2)</f>
        <v>705.62</v>
      </c>
      <c r="BB19" s="194"/>
      <c r="BC19" s="135"/>
      <c r="BD19" s="252" t="s">
        <v>59</v>
      </c>
      <c r="BE19" s="213" t="s">
        <v>60</v>
      </c>
      <c r="BF19" s="226">
        <v>0</v>
      </c>
      <c r="BG19" s="226">
        <v>1.9600688000000004</v>
      </c>
      <c r="BH19" s="215">
        <f>+ROUND(BF19*BG19,2)</f>
        <v>0</v>
      </c>
      <c r="BI19" s="194"/>
      <c r="BK19" s="164"/>
      <c r="BL19" s="236">
        <f>+$E$58</f>
        <v>10</v>
      </c>
      <c r="BM19" s="237" t="str">
        <f>$F$58</f>
        <v xml:space="preserve">TABIQUE DE PLACAS DE YESO </v>
      </c>
      <c r="BN19" s="238">
        <f>+$K$58*$BP$2</f>
        <v>21201330.5601082</v>
      </c>
      <c r="BO19" s="239">
        <f t="shared" si="2"/>
        <v>7.0104490294649824E-2</v>
      </c>
      <c r="BP19" s="176"/>
      <c r="BQ19" s="231"/>
      <c r="BR19" s="176"/>
      <c r="BS19" s="176"/>
      <c r="BT19" s="176"/>
      <c r="BU19" s="176"/>
      <c r="BV19" s="176"/>
      <c r="BW19" s="176"/>
      <c r="BX19" s="176"/>
      <c r="BY19" s="176"/>
      <c r="BZ19" s="176"/>
    </row>
    <row r="20" spans="4:78" ht="18" customHeight="1" x14ac:dyDescent="0.2">
      <c r="D20" s="240"/>
      <c r="E20" s="242" t="s">
        <v>130</v>
      </c>
      <c r="F20" s="243" t="s">
        <v>162</v>
      </c>
      <c r="G20" s="244" t="s">
        <v>6</v>
      </c>
      <c r="H20" s="244">
        <v>5.6809999999999992</v>
      </c>
      <c r="I20" s="245">
        <f>+$T$135</f>
        <v>860.5</v>
      </c>
      <c r="J20" s="245">
        <f t="shared" si="4"/>
        <v>4888.5</v>
      </c>
      <c r="K20" s="246"/>
      <c r="L20" s="247">
        <f t="shared" si="5"/>
        <v>2.5684607237427899E-5</v>
      </c>
      <c r="M20" s="379">
        <f t="shared" si="3"/>
        <v>2.5684607237427899E-5</v>
      </c>
      <c r="P20" s="224" t="s">
        <v>61</v>
      </c>
      <c r="Q20" s="225" t="s">
        <v>28</v>
      </c>
      <c r="R20" s="226"/>
      <c r="S20" s="226">
        <v>686.94</v>
      </c>
      <c r="T20" s="215">
        <f>+ROUND(R20*S20,2)</f>
        <v>0</v>
      </c>
      <c r="U20" s="194"/>
      <c r="W20" s="143"/>
      <c r="X20" s="232" t="s">
        <v>57</v>
      </c>
      <c r="Y20" s="233"/>
      <c r="Z20" s="234"/>
      <c r="AA20" s="234"/>
      <c r="AB20" s="235">
        <f>SUM(AB17:AB19)</f>
        <v>35466</v>
      </c>
      <c r="AD20" s="149"/>
      <c r="AE20" s="174"/>
      <c r="AF20" s="197" t="s">
        <v>58</v>
      </c>
      <c r="AG20" s="198"/>
      <c r="AH20" s="199"/>
      <c r="AI20" s="199"/>
      <c r="AJ20" s="200"/>
      <c r="AK20" s="153"/>
      <c r="AM20" s="174"/>
      <c r="AN20" s="253" t="s">
        <v>63</v>
      </c>
      <c r="AO20" s="233"/>
      <c r="AP20" s="254" t="s">
        <v>64</v>
      </c>
      <c r="AQ20" s="255"/>
      <c r="AR20" s="256">
        <f>+AR11+AR16+AR19</f>
        <v>33780.699999999997</v>
      </c>
      <c r="AS20" s="194"/>
      <c r="AT20" s="135"/>
      <c r="AU20" s="174"/>
      <c r="AV20" s="143"/>
      <c r="AW20" s="202" t="s">
        <v>62</v>
      </c>
      <c r="AX20" s="250"/>
      <c r="AY20" s="168"/>
      <c r="AZ20" s="168"/>
      <c r="BA20" s="251">
        <f>SUM(BA19:BA19)</f>
        <v>705.62</v>
      </c>
      <c r="BB20" s="194"/>
      <c r="BC20" s="135"/>
      <c r="BD20" s="248" t="s">
        <v>122</v>
      </c>
      <c r="BE20" s="249" t="s">
        <v>49</v>
      </c>
      <c r="BF20" s="219">
        <v>60</v>
      </c>
      <c r="BG20" s="219">
        <v>5500</v>
      </c>
      <c r="BH20" s="215">
        <f>+ROUND(BF20*BG20,2)</f>
        <v>330000</v>
      </c>
      <c r="BI20" s="194"/>
      <c r="BK20" s="164"/>
      <c r="BL20" s="236">
        <f>+$E$61</f>
        <v>11</v>
      </c>
      <c r="BM20" s="237" t="str">
        <f>$F$61</f>
        <v>CIELORRASO</v>
      </c>
      <c r="BN20" s="238">
        <f>+$K$61*$BP$2</f>
        <v>7141716.0045390464</v>
      </c>
      <c r="BO20" s="239">
        <f t="shared" si="2"/>
        <v>2.3614855629362812E-2</v>
      </c>
      <c r="BP20" s="176"/>
      <c r="BQ20" s="231"/>
      <c r="BR20" s="176"/>
      <c r="BS20" s="176"/>
      <c r="BT20" s="176"/>
      <c r="BU20" s="176"/>
      <c r="BV20" s="176"/>
      <c r="BW20" s="176"/>
      <c r="BX20" s="176"/>
      <c r="BY20" s="176"/>
      <c r="BZ20" s="176"/>
    </row>
    <row r="21" spans="4:78" ht="18" customHeight="1" x14ac:dyDescent="0.2">
      <c r="D21" s="240"/>
      <c r="E21" s="242" t="s">
        <v>163</v>
      </c>
      <c r="F21" s="243" t="s">
        <v>210</v>
      </c>
      <c r="G21" s="244" t="s">
        <v>6</v>
      </c>
      <c r="H21" s="244">
        <v>87.446899999999999</v>
      </c>
      <c r="I21" s="245">
        <f>+$T$154</f>
        <v>703.69</v>
      </c>
      <c r="J21" s="245">
        <f t="shared" si="4"/>
        <v>61535.51</v>
      </c>
      <c r="K21" s="246"/>
      <c r="L21" s="247">
        <f t="shared" si="5"/>
        <v>3.233129601114487E-4</v>
      </c>
      <c r="M21" s="379">
        <f t="shared" si="3"/>
        <v>3.233129601114487E-4</v>
      </c>
      <c r="O21" s="257"/>
      <c r="P21" s="221"/>
      <c r="Q21" s="222"/>
      <c r="R21" s="219"/>
      <c r="S21" s="219"/>
      <c r="T21" s="215">
        <f>+ROUND(R21*S21,2)</f>
        <v>0</v>
      </c>
      <c r="U21" s="194"/>
      <c r="V21" s="135"/>
      <c r="W21" s="143"/>
      <c r="X21" s="197" t="s">
        <v>58</v>
      </c>
      <c r="Y21" s="198"/>
      <c r="Z21" s="199"/>
      <c r="AA21" s="199"/>
      <c r="AB21" s="200"/>
      <c r="AC21" s="153"/>
      <c r="AE21" s="174"/>
      <c r="AF21" s="252" t="s">
        <v>59</v>
      </c>
      <c r="AG21" s="213" t="s">
        <v>60</v>
      </c>
      <c r="AH21" s="226">
        <v>631.04999999999995</v>
      </c>
      <c r="AI21" s="226">
        <v>1.9600688000000004</v>
      </c>
      <c r="AJ21" s="215">
        <f>+ROUND(AH21*AI21,2)</f>
        <v>1236.9000000000001</v>
      </c>
      <c r="AK21" s="194"/>
      <c r="AM21" s="174"/>
      <c r="AN21" s="152"/>
      <c r="AO21" s="148"/>
      <c r="AP21" s="206"/>
      <c r="AQ21" s="194"/>
      <c r="AR21" s="144"/>
      <c r="AS21" s="194"/>
      <c r="AT21" s="135"/>
      <c r="AU21" s="174"/>
      <c r="AV21" s="143"/>
      <c r="AW21" s="253" t="s">
        <v>63</v>
      </c>
      <c r="AX21" s="233"/>
      <c r="AY21" s="254" t="s">
        <v>64</v>
      </c>
      <c r="AZ21" s="255"/>
      <c r="BA21" s="256">
        <f>+BA12+BA17+BA20</f>
        <v>14126027.639999999</v>
      </c>
      <c r="BB21" s="194"/>
      <c r="BC21" s="135"/>
      <c r="BD21" s="202" t="s">
        <v>62</v>
      </c>
      <c r="BE21" s="250"/>
      <c r="BF21" s="168"/>
      <c r="BG21" s="168"/>
      <c r="BH21" s="251">
        <f>SUM(BH19:BH20)</f>
        <v>330000</v>
      </c>
      <c r="BI21" s="194"/>
      <c r="BJ21" s="135"/>
      <c r="BK21" s="164"/>
      <c r="BL21" s="236">
        <f>+$E$64</f>
        <v>12</v>
      </c>
      <c r="BM21" s="237" t="str">
        <f>$F$64</f>
        <v>SOLADO Y ZOCALO</v>
      </c>
      <c r="BN21" s="238">
        <f>+$K$64*$BP$2</f>
        <v>10821113.641114421</v>
      </c>
      <c r="BO21" s="239">
        <f t="shared" si="2"/>
        <v>3.5781181472552694E-2</v>
      </c>
      <c r="BP21" s="176"/>
      <c r="BQ21" s="231"/>
      <c r="BR21" s="176"/>
      <c r="BS21" s="176"/>
      <c r="BT21" s="176"/>
      <c r="BU21" s="176"/>
      <c r="BV21" s="176"/>
      <c r="BW21" s="176"/>
      <c r="BX21" s="176"/>
      <c r="BY21" s="176"/>
      <c r="BZ21" s="176"/>
    </row>
    <row r="22" spans="4:78" ht="18" customHeight="1" x14ac:dyDescent="0.2">
      <c r="D22" s="240"/>
      <c r="E22" s="242" t="s">
        <v>209</v>
      </c>
      <c r="F22" s="243" t="s">
        <v>218</v>
      </c>
      <c r="G22" s="244" t="s">
        <v>11</v>
      </c>
      <c r="H22" s="244">
        <v>1</v>
      </c>
      <c r="I22" s="245">
        <f>+$T$173</f>
        <v>107122.22</v>
      </c>
      <c r="J22" s="245">
        <f t="shared" ref="J22" si="6">ROUND(I22*H22,2)</f>
        <v>107122.22</v>
      </c>
      <c r="K22" s="246"/>
      <c r="L22" s="247">
        <f t="shared" si="5"/>
        <v>5.6282952789226629E-4</v>
      </c>
      <c r="M22" s="379">
        <f t="shared" si="3"/>
        <v>5.6282952789226629E-4</v>
      </c>
      <c r="O22" s="258"/>
      <c r="P22" s="202" t="s">
        <v>62</v>
      </c>
      <c r="Q22" s="250"/>
      <c r="R22" s="168"/>
      <c r="S22" s="168"/>
      <c r="T22" s="251">
        <f>SUM(T19:T21)</f>
        <v>0</v>
      </c>
      <c r="U22" s="194"/>
      <c r="V22" s="135"/>
      <c r="W22" s="143"/>
      <c r="X22" s="252" t="s">
        <v>59</v>
      </c>
      <c r="Y22" s="213" t="s">
        <v>60</v>
      </c>
      <c r="Z22" s="226">
        <v>141.25</v>
      </c>
      <c r="AA22" s="226">
        <v>1.9600688000000004</v>
      </c>
      <c r="AB22" s="215">
        <f>+ROUND(Z22*AA22,2)</f>
        <v>276.86</v>
      </c>
      <c r="AC22" s="194"/>
      <c r="AE22" s="174"/>
      <c r="AF22" s="202" t="s">
        <v>62</v>
      </c>
      <c r="AG22" s="250"/>
      <c r="AH22" s="168"/>
      <c r="AI22" s="168"/>
      <c r="AJ22" s="251">
        <f>SUM(AJ21:AJ21)</f>
        <v>1236.9000000000001</v>
      </c>
      <c r="AK22" s="194"/>
      <c r="AL22" s="135"/>
      <c r="AM22" s="174"/>
      <c r="AN22" s="155" t="s">
        <v>385</v>
      </c>
      <c r="AO22" s="169"/>
      <c r="AP22" s="172"/>
      <c r="AQ22" s="172"/>
      <c r="AR22" s="173"/>
      <c r="AS22" s="154"/>
      <c r="AT22" s="135"/>
      <c r="AU22" s="174"/>
      <c r="AV22" s="143"/>
      <c r="AW22" s="152"/>
      <c r="AX22" s="148"/>
      <c r="AY22" s="206"/>
      <c r="AZ22" s="194"/>
      <c r="BA22" s="144"/>
      <c r="BB22" s="194"/>
      <c r="BC22" s="135"/>
      <c r="BD22" s="253" t="s">
        <v>63</v>
      </c>
      <c r="BE22" s="233"/>
      <c r="BF22" s="254" t="s">
        <v>64</v>
      </c>
      <c r="BG22" s="255"/>
      <c r="BH22" s="256">
        <f>+BH12+BH17+BH21</f>
        <v>492564</v>
      </c>
      <c r="BI22" s="194"/>
      <c r="BJ22" s="135"/>
      <c r="BK22" s="164"/>
      <c r="BL22" s="236">
        <f>+$E$72</f>
        <v>13</v>
      </c>
      <c r="BM22" s="237" t="str">
        <f>$F$72</f>
        <v>CARPINTERIA</v>
      </c>
      <c r="BN22" s="238">
        <f>+$K$72*$BP$2</f>
        <v>22023711.16918895</v>
      </c>
      <c r="BO22" s="239">
        <f t="shared" si="2"/>
        <v>7.2823780636562946E-2</v>
      </c>
      <c r="BP22" s="176"/>
      <c r="BQ22" s="231"/>
      <c r="BR22" s="176"/>
      <c r="BS22" s="176"/>
      <c r="BT22" s="176"/>
      <c r="BU22" s="176"/>
      <c r="BV22" s="176"/>
      <c r="BW22" s="176"/>
      <c r="BX22" s="176"/>
      <c r="BY22" s="176"/>
      <c r="BZ22" s="176"/>
    </row>
    <row r="23" spans="4:78" ht="18" customHeight="1" x14ac:dyDescent="0.2">
      <c r="D23" s="240"/>
      <c r="E23" s="395">
        <v>3</v>
      </c>
      <c r="F23" s="396" t="s">
        <v>164</v>
      </c>
      <c r="G23" s="397"/>
      <c r="H23" s="398"/>
      <c r="I23" s="398"/>
      <c r="J23" s="398"/>
      <c r="K23" s="399">
        <f>SUM(J24)</f>
        <v>71230.37</v>
      </c>
      <c r="L23" s="400">
        <f>+K23/$K$120</f>
        <v>3.7425060383075934E-4</v>
      </c>
      <c r="M23" s="379"/>
      <c r="O23" s="258"/>
      <c r="P23" s="253" t="s">
        <v>63</v>
      </c>
      <c r="Q23" s="233"/>
      <c r="R23" s="254" t="s">
        <v>64</v>
      </c>
      <c r="S23" s="255"/>
      <c r="T23" s="256">
        <f>+T11+T16+T22</f>
        <v>121923</v>
      </c>
      <c r="U23" s="194"/>
      <c r="V23" s="135"/>
      <c r="W23" s="143"/>
      <c r="X23" s="202" t="s">
        <v>62</v>
      </c>
      <c r="Y23" s="250"/>
      <c r="Z23" s="168"/>
      <c r="AA23" s="168"/>
      <c r="AB23" s="251">
        <f>SUM(AB22:AB22)</f>
        <v>276.86</v>
      </c>
      <c r="AC23" s="194"/>
      <c r="AD23" s="135"/>
      <c r="AE23" s="174"/>
      <c r="AF23" s="253" t="s">
        <v>63</v>
      </c>
      <c r="AG23" s="233"/>
      <c r="AH23" s="254" t="s">
        <v>64</v>
      </c>
      <c r="AI23" s="255"/>
      <c r="AJ23" s="256">
        <f>+AJ14+AJ19+AJ22</f>
        <v>39322.020000000004</v>
      </c>
      <c r="AK23" s="194"/>
      <c r="AL23" s="135"/>
      <c r="AM23" s="174"/>
      <c r="AN23" s="177" t="s">
        <v>387</v>
      </c>
      <c r="AO23" s="150"/>
      <c r="AP23" s="178"/>
      <c r="AQ23" s="149"/>
      <c r="AR23" s="179" t="str">
        <f>$G$60</f>
        <v>m2</v>
      </c>
      <c r="AS23" s="180">
        <f>$H$60</f>
        <v>153</v>
      </c>
      <c r="AT23" s="135"/>
      <c r="AU23" s="174"/>
      <c r="AV23" s="143"/>
      <c r="AW23" s="155" t="s">
        <v>426</v>
      </c>
      <c r="AX23" s="169"/>
      <c r="AY23" s="172"/>
      <c r="AZ23" s="172"/>
      <c r="BA23" s="173"/>
      <c r="BB23" s="154"/>
      <c r="BC23" s="135"/>
      <c r="BD23" s="152"/>
      <c r="BE23" s="153"/>
      <c r="BF23" s="145"/>
      <c r="BG23" s="145"/>
      <c r="BH23" s="145"/>
      <c r="BI23" s="154"/>
      <c r="BK23" s="164"/>
      <c r="BL23" s="236">
        <f>+$E$90</f>
        <v>14</v>
      </c>
      <c r="BM23" s="237" t="str">
        <f>$F$90</f>
        <v>INSTALACION ELECTRICA</v>
      </c>
      <c r="BN23" s="238">
        <f>+$K$90*$BP$2</f>
        <v>131705238.48761137</v>
      </c>
      <c r="BO23" s="239">
        <f t="shared" si="2"/>
        <v>0.43549760177231872</v>
      </c>
      <c r="BP23" s="176"/>
      <c r="BQ23" s="231"/>
      <c r="BR23" s="176"/>
      <c r="BS23" s="176"/>
      <c r="BT23" s="176"/>
      <c r="BU23" s="176"/>
      <c r="BV23" s="176"/>
      <c r="BW23" s="176"/>
      <c r="BX23" s="176"/>
      <c r="BY23" s="176"/>
      <c r="BZ23" s="176"/>
    </row>
    <row r="24" spans="4:78" ht="18" customHeight="1" thickBot="1" x14ac:dyDescent="0.25">
      <c r="D24" s="240"/>
      <c r="E24" s="242" t="s">
        <v>7</v>
      </c>
      <c r="F24" s="243" t="s">
        <v>212</v>
      </c>
      <c r="G24" s="397" t="s">
        <v>15</v>
      </c>
      <c r="H24" s="244">
        <v>8.5214999999999996</v>
      </c>
      <c r="I24" s="245">
        <f>+$T$191</f>
        <v>8358.9</v>
      </c>
      <c r="J24" s="245">
        <f>ROUND(I24*H24,2)</f>
        <v>71230.37</v>
      </c>
      <c r="K24" s="246"/>
      <c r="L24" s="247">
        <f>+J24/$K$120</f>
        <v>3.7425060383075934E-4</v>
      </c>
      <c r="M24" s="379">
        <f t="shared" si="3"/>
        <v>3.7425060383075934E-4</v>
      </c>
      <c r="O24" s="258"/>
      <c r="P24" s="152"/>
      <c r="Q24" s="148"/>
      <c r="R24" s="206"/>
      <c r="S24" s="194"/>
      <c r="T24" s="144"/>
      <c r="U24" s="194"/>
      <c r="V24" s="135"/>
      <c r="W24" s="143"/>
      <c r="X24" s="253" t="s">
        <v>63</v>
      </c>
      <c r="Y24" s="233"/>
      <c r="Z24" s="254" t="s">
        <v>64</v>
      </c>
      <c r="AA24" s="255"/>
      <c r="AB24" s="256">
        <f>+AB15+AB20+AB23</f>
        <v>119442.21999999999</v>
      </c>
      <c r="AC24" s="194"/>
      <c r="AD24" s="135"/>
      <c r="AE24" s="174"/>
      <c r="AF24" s="152"/>
      <c r="AG24" s="148"/>
      <c r="AH24" s="206"/>
      <c r="AI24" s="194"/>
      <c r="AJ24" s="144"/>
      <c r="AK24" s="194"/>
      <c r="AL24" s="135"/>
      <c r="AM24" s="174"/>
      <c r="AN24" s="183"/>
      <c r="AO24" s="184"/>
      <c r="AP24" s="185"/>
      <c r="AQ24" s="185"/>
      <c r="AR24" s="186"/>
      <c r="AT24" s="135"/>
      <c r="AU24" s="174"/>
      <c r="AV24" s="143"/>
      <c r="AW24" s="177" t="s">
        <v>427</v>
      </c>
      <c r="AX24" s="150"/>
      <c r="AY24" s="178"/>
      <c r="AZ24" s="149"/>
      <c r="BA24" s="179" t="str">
        <f>$G$103</f>
        <v>Gl</v>
      </c>
      <c r="BB24" s="180">
        <f>$H$103</f>
        <v>1</v>
      </c>
      <c r="BC24" s="135"/>
      <c r="BD24" s="155" t="s">
        <v>435</v>
      </c>
      <c r="BE24" s="169"/>
      <c r="BF24" s="172"/>
      <c r="BG24" s="172"/>
      <c r="BH24" s="173"/>
      <c r="BI24" s="154"/>
      <c r="BJ24" s="175"/>
      <c r="BK24" s="164"/>
      <c r="BL24" s="236">
        <f>+$E$100</f>
        <v>15</v>
      </c>
      <c r="BM24" s="237" t="str">
        <f>$F$100</f>
        <v>INSTALACIÓN ELECTROMECÁNICA</v>
      </c>
      <c r="BN24" s="238">
        <f>+$K$100*$BP$2</f>
        <v>22445776.928718861</v>
      </c>
      <c r="BO24" s="239">
        <f t="shared" si="2"/>
        <v>7.4219386674532178E-2</v>
      </c>
      <c r="BP24" s="176"/>
      <c r="BQ24" s="189"/>
      <c r="BR24" s="176"/>
      <c r="BS24" s="176"/>
      <c r="BT24" s="176"/>
      <c r="BU24" s="176"/>
      <c r="BV24" s="176"/>
      <c r="BW24" s="176"/>
      <c r="BX24" s="176"/>
      <c r="BY24" s="176"/>
      <c r="BZ24" s="176"/>
    </row>
    <row r="25" spans="4:78" ht="18" customHeight="1" thickTop="1" thickBot="1" x14ac:dyDescent="0.25">
      <c r="D25" s="240"/>
      <c r="E25" s="395">
        <v>4</v>
      </c>
      <c r="F25" s="396" t="s">
        <v>135</v>
      </c>
      <c r="G25" s="397"/>
      <c r="H25" s="398"/>
      <c r="I25" s="398"/>
      <c r="J25" s="398"/>
      <c r="K25" s="399">
        <f>SUM(J26:J39)</f>
        <v>13372883.07</v>
      </c>
      <c r="L25" s="400">
        <f>+K25/$K$120</f>
        <v>7.0262299127544031E-2</v>
      </c>
      <c r="M25" s="379"/>
      <c r="P25" s="155" t="s">
        <v>341</v>
      </c>
      <c r="Q25" s="169"/>
      <c r="R25" s="172"/>
      <c r="S25" s="172"/>
      <c r="T25" s="173"/>
      <c r="U25" s="154"/>
      <c r="V25" s="135"/>
      <c r="W25" s="143"/>
      <c r="X25" s="152"/>
      <c r="Y25" s="148"/>
      <c r="Z25" s="206"/>
      <c r="AA25" s="194"/>
      <c r="AB25" s="144"/>
      <c r="AC25" s="194"/>
      <c r="AD25" s="135"/>
      <c r="AE25" s="174"/>
      <c r="AF25" s="155" t="s">
        <v>367</v>
      </c>
      <c r="AG25" s="169"/>
      <c r="AH25" s="172"/>
      <c r="AI25" s="172"/>
      <c r="AJ25" s="173"/>
      <c r="AK25" s="154"/>
      <c r="AL25" s="135"/>
      <c r="AM25" s="174"/>
      <c r="AN25" s="191" t="s">
        <v>31</v>
      </c>
      <c r="AO25" s="192" t="s">
        <v>32</v>
      </c>
      <c r="AP25" s="192" t="s">
        <v>33</v>
      </c>
      <c r="AQ25" s="192" t="s">
        <v>1</v>
      </c>
      <c r="AR25" s="192" t="s">
        <v>34</v>
      </c>
      <c r="AS25" s="193" t="s">
        <v>76</v>
      </c>
      <c r="AT25" s="135"/>
      <c r="AU25" s="174"/>
      <c r="AV25" s="143"/>
      <c r="AW25" s="183"/>
      <c r="AX25" s="184"/>
      <c r="AY25" s="185"/>
      <c r="AZ25" s="185"/>
      <c r="BA25" s="186"/>
      <c r="BC25" s="135"/>
      <c r="BD25" s="177" t="s">
        <v>437</v>
      </c>
      <c r="BE25" s="150"/>
      <c r="BF25" s="178"/>
      <c r="BG25" s="149"/>
      <c r="BH25" s="179" t="str">
        <f>$G$113</f>
        <v>Un</v>
      </c>
      <c r="BI25" s="180">
        <f>$H$113</f>
        <v>17</v>
      </c>
      <c r="BJ25" s="181"/>
      <c r="BK25" s="164"/>
      <c r="BL25" s="236">
        <f>+$E$102</f>
        <v>16</v>
      </c>
      <c r="BM25" s="237" t="str">
        <f>$F$102</f>
        <v>AIRE ACONDICIONADO</v>
      </c>
      <c r="BN25" s="238">
        <f>+$K$102*$BP$2</f>
        <v>36155129.4117347</v>
      </c>
      <c r="BO25" s="239">
        <f t="shared" si="2"/>
        <v>0.11955084195120574</v>
      </c>
      <c r="BP25" s="176"/>
      <c r="BQ25" s="189"/>
      <c r="BR25" s="176"/>
      <c r="BS25" s="176"/>
      <c r="BT25" s="176"/>
      <c r="BU25" s="176"/>
      <c r="BV25" s="176"/>
      <c r="BW25" s="176"/>
      <c r="BX25" s="176"/>
      <c r="BY25" s="176"/>
      <c r="BZ25" s="176"/>
    </row>
    <row r="26" spans="4:78" ht="18" customHeight="1" thickTop="1" thickBot="1" x14ac:dyDescent="0.25">
      <c r="D26" s="240"/>
      <c r="E26" s="259" t="s">
        <v>24</v>
      </c>
      <c r="F26" s="260" t="s">
        <v>160</v>
      </c>
      <c r="G26" s="244"/>
      <c r="H26" s="244"/>
      <c r="I26" s="245"/>
      <c r="J26" s="245"/>
      <c r="K26" s="246"/>
      <c r="L26" s="247"/>
      <c r="M26" s="379"/>
      <c r="P26" s="177" t="s">
        <v>343</v>
      </c>
      <c r="Q26" s="150"/>
      <c r="R26" s="178"/>
      <c r="S26" s="149"/>
      <c r="T26" s="179" t="str">
        <f>$G$14</f>
        <v>m2</v>
      </c>
      <c r="U26" s="180">
        <f>$H$14</f>
        <v>8.64</v>
      </c>
      <c r="V26" s="163"/>
      <c r="W26" s="143"/>
      <c r="X26" s="155" t="s">
        <v>354</v>
      </c>
      <c r="Y26" s="169"/>
      <c r="Z26" s="172"/>
      <c r="AA26" s="172"/>
      <c r="AB26" s="173"/>
      <c r="AC26" s="154"/>
      <c r="AD26" s="135"/>
      <c r="AE26" s="174"/>
      <c r="AF26" s="177" t="s">
        <v>369</v>
      </c>
      <c r="AG26" s="150"/>
      <c r="AH26" s="178"/>
      <c r="AI26" s="149"/>
      <c r="AJ26" s="179" t="str">
        <f>$G$42</f>
        <v>m3</v>
      </c>
      <c r="AK26" s="180">
        <f>$H$42</f>
        <v>1.0449999999999999</v>
      </c>
      <c r="AL26" s="163"/>
      <c r="AM26" s="174"/>
      <c r="AN26" s="197" t="s">
        <v>37</v>
      </c>
      <c r="AO26" s="198"/>
      <c r="AP26" s="199"/>
      <c r="AQ26" s="199"/>
      <c r="AR26" s="200"/>
      <c r="AS26" s="201"/>
      <c r="AT26" s="135"/>
      <c r="AU26" s="174"/>
      <c r="AV26" s="143"/>
      <c r="AW26" s="191" t="s">
        <v>31</v>
      </c>
      <c r="AX26" s="192" t="s">
        <v>32</v>
      </c>
      <c r="AY26" s="192" t="s">
        <v>33</v>
      </c>
      <c r="AZ26" s="192" t="s">
        <v>1</v>
      </c>
      <c r="BA26" s="192" t="s">
        <v>34</v>
      </c>
      <c r="BB26" s="193" t="s">
        <v>76</v>
      </c>
      <c r="BC26" s="135"/>
      <c r="BD26" s="183"/>
      <c r="BE26" s="184"/>
      <c r="BF26" s="185"/>
      <c r="BG26" s="185"/>
      <c r="BH26" s="186"/>
      <c r="BJ26" s="181"/>
      <c r="BK26" s="164"/>
      <c r="BL26" s="236">
        <f>+$E$106</f>
        <v>17</v>
      </c>
      <c r="BM26" s="237" t="str">
        <f>$F$106</f>
        <v>PINTURA</v>
      </c>
      <c r="BN26" s="238">
        <f>+$K$106*$BP$2</f>
        <v>7335522.6263710111</v>
      </c>
      <c r="BO26" s="239">
        <f t="shared" si="2"/>
        <v>2.4255698165199794E-2</v>
      </c>
      <c r="BP26" s="176"/>
      <c r="BQ26" s="189"/>
      <c r="BR26" s="176"/>
      <c r="BS26" s="176"/>
      <c r="BT26" s="176"/>
      <c r="BU26" s="176"/>
      <c r="BV26" s="176"/>
      <c r="BW26" s="176"/>
      <c r="BX26" s="176"/>
      <c r="BY26" s="176"/>
      <c r="BZ26" s="176"/>
    </row>
    <row r="27" spans="4:78" ht="18" customHeight="1" thickTop="1" thickBot="1" x14ac:dyDescent="0.25">
      <c r="D27" s="240"/>
      <c r="E27" s="242" t="s">
        <v>116</v>
      </c>
      <c r="F27" s="243" t="s">
        <v>262</v>
      </c>
      <c r="G27" s="244" t="s">
        <v>15</v>
      </c>
      <c r="H27" s="244">
        <v>1.878225</v>
      </c>
      <c r="I27" s="245">
        <f>+$AB$24</f>
        <v>119442.21999999999</v>
      </c>
      <c r="J27" s="245">
        <f>ROUND(I27*H27,2)</f>
        <v>224339.36</v>
      </c>
      <c r="K27" s="246"/>
      <c r="L27" s="247">
        <f>+J27/$K$120</f>
        <v>1.1786986497894943E-3</v>
      </c>
      <c r="M27" s="379">
        <f t="shared" si="3"/>
        <v>1.1786986497894943E-3</v>
      </c>
      <c r="P27" s="183"/>
      <c r="Q27" s="184"/>
      <c r="R27" s="185"/>
      <c r="S27" s="185"/>
      <c r="T27" s="186"/>
      <c r="V27" s="145"/>
      <c r="W27" s="143"/>
      <c r="X27" s="177" t="s">
        <v>356</v>
      </c>
      <c r="Y27" s="150"/>
      <c r="Z27" s="178"/>
      <c r="AA27" s="149"/>
      <c r="AB27" s="179" t="str">
        <f>$G$29</f>
        <v>Gl</v>
      </c>
      <c r="AC27" s="180">
        <f>$H$29</f>
        <v>1</v>
      </c>
      <c r="AD27" s="163"/>
      <c r="AE27" s="174"/>
      <c r="AF27" s="183"/>
      <c r="AG27" s="184"/>
      <c r="AH27" s="185"/>
      <c r="AI27" s="185"/>
      <c r="AJ27" s="186"/>
      <c r="AL27" s="145"/>
      <c r="AM27" s="174"/>
      <c r="AN27" s="216" t="s">
        <v>250</v>
      </c>
      <c r="AO27" s="213" t="s">
        <v>28</v>
      </c>
      <c r="AP27" s="214">
        <v>1.05</v>
      </c>
      <c r="AQ27" s="214">
        <v>7334.9850340000012</v>
      </c>
      <c r="AR27" s="215">
        <f>+ROUND(AP27*AQ27,2)</f>
        <v>7701.73</v>
      </c>
      <c r="AS27" s="201"/>
      <c r="AT27" s="135"/>
      <c r="AU27" s="174"/>
      <c r="AV27" s="174"/>
      <c r="AW27" s="197" t="s">
        <v>37</v>
      </c>
      <c r="AX27" s="198"/>
      <c r="AY27" s="199"/>
      <c r="AZ27" s="199"/>
      <c r="BA27" s="200"/>
      <c r="BB27" s="201"/>
      <c r="BC27" s="135"/>
      <c r="BD27" s="191" t="s">
        <v>31</v>
      </c>
      <c r="BE27" s="192" t="s">
        <v>32</v>
      </c>
      <c r="BF27" s="192" t="s">
        <v>33</v>
      </c>
      <c r="BG27" s="192" t="s">
        <v>1</v>
      </c>
      <c r="BH27" s="192" t="s">
        <v>34</v>
      </c>
      <c r="BI27" s="193" t="s">
        <v>76</v>
      </c>
      <c r="BJ27" s="194"/>
      <c r="BK27" s="164"/>
      <c r="BL27" s="236">
        <f>+$E$111</f>
        <v>18</v>
      </c>
      <c r="BM27" s="237" t="str">
        <f>$F$111</f>
        <v>VARIOS</v>
      </c>
      <c r="BN27" s="238">
        <f>+$K$111*$BP$2</f>
        <v>12545939.198874725</v>
      </c>
      <c r="BO27" s="239">
        <f t="shared" si="2"/>
        <v>4.1484503546191175E-2</v>
      </c>
      <c r="BP27" s="176"/>
      <c r="BQ27" s="189"/>
      <c r="BR27" s="176"/>
      <c r="BS27" s="176"/>
      <c r="BT27" s="176"/>
      <c r="BU27" s="176"/>
      <c r="BV27" s="176"/>
      <c r="BW27" s="176"/>
      <c r="BX27" s="176"/>
      <c r="BY27" s="176"/>
      <c r="BZ27" s="176"/>
    </row>
    <row r="28" spans="4:78" ht="18" customHeight="1" thickTop="1" thickBot="1" x14ac:dyDescent="0.25">
      <c r="D28" s="240"/>
      <c r="E28" s="259" t="s">
        <v>25</v>
      </c>
      <c r="F28" s="243" t="s">
        <v>161</v>
      </c>
      <c r="G28" s="244"/>
      <c r="H28" s="244"/>
      <c r="I28" s="245"/>
      <c r="J28" s="245"/>
      <c r="K28" s="246"/>
      <c r="L28" s="247"/>
      <c r="M28" s="379"/>
      <c r="P28" s="191" t="s">
        <v>31</v>
      </c>
      <c r="Q28" s="192" t="s">
        <v>32</v>
      </c>
      <c r="R28" s="192" t="s">
        <v>33</v>
      </c>
      <c r="S28" s="192" t="s">
        <v>1</v>
      </c>
      <c r="T28" s="192" t="s">
        <v>34</v>
      </c>
      <c r="U28" s="193" t="s">
        <v>76</v>
      </c>
      <c r="V28" s="153"/>
      <c r="W28" s="143"/>
      <c r="X28" s="183"/>
      <c r="Y28" s="184"/>
      <c r="Z28" s="185"/>
      <c r="AA28" s="185"/>
      <c r="AB28" s="186"/>
      <c r="AD28" s="145"/>
      <c r="AE28" s="174"/>
      <c r="AF28" s="191" t="s">
        <v>31</v>
      </c>
      <c r="AG28" s="192" t="s">
        <v>32</v>
      </c>
      <c r="AH28" s="192" t="s">
        <v>33</v>
      </c>
      <c r="AI28" s="192" t="s">
        <v>1</v>
      </c>
      <c r="AJ28" s="192" t="s">
        <v>34</v>
      </c>
      <c r="AK28" s="193" t="s">
        <v>76</v>
      </c>
      <c r="AL28" s="153"/>
      <c r="AM28" s="174"/>
      <c r="AN28" s="224" t="s">
        <v>50</v>
      </c>
      <c r="AO28" s="225" t="s">
        <v>28</v>
      </c>
      <c r="AP28" s="226">
        <v>0.03</v>
      </c>
      <c r="AQ28" s="219">
        <v>7701.73</v>
      </c>
      <c r="AR28" s="223">
        <f>+ROUND(AP28*AQ28,2)</f>
        <v>231.05</v>
      </c>
      <c r="AS28" s="201"/>
      <c r="AT28" s="135"/>
      <c r="AU28" s="174"/>
      <c r="AV28" s="143"/>
      <c r="AW28" s="216"/>
      <c r="AX28" s="213"/>
      <c r="AY28" s="214"/>
      <c r="AZ28" s="214"/>
      <c r="BA28" s="215">
        <f>+ROUND(AY28*AZ28,2)</f>
        <v>0</v>
      </c>
      <c r="BB28" s="201"/>
      <c r="BC28" s="135"/>
      <c r="BD28" s="197" t="s">
        <v>37</v>
      </c>
      <c r="BE28" s="198"/>
      <c r="BF28" s="199"/>
      <c r="BG28" s="199"/>
      <c r="BH28" s="200"/>
      <c r="BI28" s="201"/>
      <c r="BJ28" s="194"/>
      <c r="BK28" s="164"/>
      <c r="BL28" s="236"/>
      <c r="BM28" s="237"/>
      <c r="BN28" s="238"/>
      <c r="BO28" s="239"/>
      <c r="BP28" s="176"/>
      <c r="BQ28" s="147"/>
      <c r="BR28" s="176"/>
      <c r="BS28" s="176"/>
      <c r="BT28" s="176"/>
      <c r="BU28" s="176"/>
      <c r="BV28" s="176"/>
      <c r="BW28" s="176"/>
      <c r="BX28" s="176"/>
      <c r="BY28" s="176"/>
      <c r="BZ28" s="176"/>
    </row>
    <row r="29" spans="4:78" ht="18" customHeight="1" thickTop="1" x14ac:dyDescent="0.2">
      <c r="D29" s="240"/>
      <c r="E29" s="242" t="s">
        <v>117</v>
      </c>
      <c r="F29" s="243" t="s">
        <v>237</v>
      </c>
      <c r="G29" s="244" t="s">
        <v>11</v>
      </c>
      <c r="H29" s="244">
        <v>1</v>
      </c>
      <c r="I29" s="245">
        <f>+$AB$43</f>
        <v>5849380.9799999995</v>
      </c>
      <c r="J29" s="245">
        <f>ROUND(I29*H29,2)</f>
        <v>5849380.9800000004</v>
      </c>
      <c r="K29" s="246"/>
      <c r="L29" s="247">
        <f t="shared" ref="L29:L39" si="7">+J29/$K$120</f>
        <v>3.0733160080470719E-2</v>
      </c>
      <c r="M29" s="379">
        <f t="shared" si="3"/>
        <v>3.0733160080470719E-2</v>
      </c>
      <c r="P29" s="197" t="s">
        <v>37</v>
      </c>
      <c r="Q29" s="198"/>
      <c r="R29" s="199"/>
      <c r="S29" s="199"/>
      <c r="T29" s="200"/>
      <c r="U29" s="201"/>
      <c r="V29" s="194"/>
      <c r="W29" s="143"/>
      <c r="X29" s="191" t="s">
        <v>31</v>
      </c>
      <c r="Y29" s="192" t="s">
        <v>32</v>
      </c>
      <c r="Z29" s="192" t="s">
        <v>33</v>
      </c>
      <c r="AA29" s="192" t="s">
        <v>1</v>
      </c>
      <c r="AB29" s="192" t="s">
        <v>34</v>
      </c>
      <c r="AC29" s="193" t="s">
        <v>76</v>
      </c>
      <c r="AD29" s="153"/>
      <c r="AE29" s="174"/>
      <c r="AF29" s="197" t="s">
        <v>37</v>
      </c>
      <c r="AG29" s="198"/>
      <c r="AH29" s="199"/>
      <c r="AI29" s="199"/>
      <c r="AJ29" s="200"/>
      <c r="AK29" s="201"/>
      <c r="AL29" s="153"/>
      <c r="AM29" s="174"/>
      <c r="AN29" s="232" t="s">
        <v>51</v>
      </c>
      <c r="AO29" s="233"/>
      <c r="AP29" s="234"/>
      <c r="AQ29" s="234"/>
      <c r="AR29" s="235">
        <f>SUM(AR27:AR28)</f>
        <v>7932.78</v>
      </c>
      <c r="AS29" s="235"/>
      <c r="AT29" s="135"/>
      <c r="AU29" s="174"/>
      <c r="AV29" s="143"/>
      <c r="AW29" s="216"/>
      <c r="AX29" s="213"/>
      <c r="AY29" s="214"/>
      <c r="AZ29" s="214"/>
      <c r="BA29" s="215">
        <f>+ROUND(AY29*AZ29,2)</f>
        <v>0</v>
      </c>
      <c r="BB29" s="201"/>
      <c r="BC29" s="135"/>
      <c r="BD29" s="216" t="s">
        <v>437</v>
      </c>
      <c r="BE29" s="213" t="s">
        <v>35</v>
      </c>
      <c r="BF29" s="214">
        <v>1</v>
      </c>
      <c r="BG29" s="214">
        <v>1177</v>
      </c>
      <c r="BH29" s="217">
        <f>ROUND((BG29*BF29),2)</f>
        <v>1177</v>
      </c>
      <c r="BI29" s="201"/>
      <c r="BJ29" s="194"/>
      <c r="BK29" s="164"/>
      <c r="BL29" s="261"/>
      <c r="BM29" s="262"/>
      <c r="BN29" s="263"/>
      <c r="BO29" s="264"/>
      <c r="BP29" s="176"/>
      <c r="BQ29" s="147"/>
      <c r="BR29" s="176"/>
      <c r="BS29" s="176"/>
      <c r="BT29" s="176"/>
      <c r="BU29" s="176"/>
      <c r="BV29" s="176"/>
      <c r="BW29" s="176"/>
      <c r="BX29" s="176"/>
      <c r="BY29" s="176"/>
      <c r="BZ29" s="176"/>
    </row>
    <row r="30" spans="4:78" ht="18" customHeight="1" x14ac:dyDescent="0.2">
      <c r="D30" s="240"/>
      <c r="E30" s="242" t="s">
        <v>165</v>
      </c>
      <c r="F30" s="243" t="s">
        <v>269</v>
      </c>
      <c r="G30" s="244" t="s">
        <v>4</v>
      </c>
      <c r="H30" s="244">
        <v>98.13</v>
      </c>
      <c r="I30" s="245">
        <f>+$AB$62</f>
        <v>18257.18</v>
      </c>
      <c r="J30" s="245">
        <f>ROUND(I30*H30,2)</f>
        <v>1791577.07</v>
      </c>
      <c r="K30" s="246"/>
      <c r="L30" s="247">
        <f t="shared" si="7"/>
        <v>9.4131028697006999E-3</v>
      </c>
      <c r="M30" s="379">
        <f t="shared" si="3"/>
        <v>9.4131028697006999E-3</v>
      </c>
      <c r="O30" s="211"/>
      <c r="P30" s="212" t="s">
        <v>203</v>
      </c>
      <c r="Q30" s="213" t="s">
        <v>6</v>
      </c>
      <c r="R30" s="214">
        <v>1</v>
      </c>
      <c r="S30" s="226">
        <v>16497.584541062803</v>
      </c>
      <c r="T30" s="215">
        <f>+ROUND(R30*S30,2)</f>
        <v>16497.580000000002</v>
      </c>
      <c r="U30" s="201"/>
      <c r="V30" s="176"/>
      <c r="W30" s="143"/>
      <c r="X30" s="197" t="s">
        <v>37</v>
      </c>
      <c r="Y30" s="198"/>
      <c r="Z30" s="199"/>
      <c r="AA30" s="199"/>
      <c r="AB30" s="200"/>
      <c r="AC30" s="201"/>
      <c r="AD30" s="153"/>
      <c r="AE30" s="174"/>
      <c r="AF30" s="130" t="s">
        <v>224</v>
      </c>
      <c r="AG30" s="131" t="s">
        <v>20</v>
      </c>
      <c r="AH30" s="132">
        <v>290</v>
      </c>
      <c r="AI30" s="132">
        <v>37.450000000000003</v>
      </c>
      <c r="AJ30" s="215">
        <f>+ROUND(AH30*AI30,2)</f>
        <v>10860.5</v>
      </c>
      <c r="AK30" s="201"/>
      <c r="AL30" s="176"/>
      <c r="AM30" s="174"/>
      <c r="AN30" s="197" t="s">
        <v>53</v>
      </c>
      <c r="AO30" s="198"/>
      <c r="AP30" s="199"/>
      <c r="AQ30" s="199"/>
      <c r="AR30" s="200"/>
      <c r="AS30" s="241">
        <f>+AR27*AS23</f>
        <v>1178364.69</v>
      </c>
      <c r="AT30" s="135"/>
      <c r="AU30" s="174"/>
      <c r="AV30" s="143"/>
      <c r="AW30" s="224" t="s">
        <v>50</v>
      </c>
      <c r="AX30" s="225" t="s">
        <v>28</v>
      </c>
      <c r="AY30" s="226">
        <v>0.03</v>
      </c>
      <c r="AZ30" s="219">
        <v>0</v>
      </c>
      <c r="BA30" s="215">
        <f>+ROUND(AY30*AZ30,2)</f>
        <v>0</v>
      </c>
      <c r="BB30" s="201"/>
      <c r="BC30" s="135"/>
      <c r="BD30" s="224" t="s">
        <v>50</v>
      </c>
      <c r="BE30" s="225" t="s">
        <v>28</v>
      </c>
      <c r="BF30" s="226">
        <v>0.03</v>
      </c>
      <c r="BG30" s="226">
        <v>1177</v>
      </c>
      <c r="BH30" s="217">
        <f>ROUND((BG30*BF30),2)</f>
        <v>35.31</v>
      </c>
      <c r="BI30" s="201"/>
      <c r="BJ30" s="194"/>
      <c r="BK30" s="164"/>
      <c r="BL30" s="164"/>
      <c r="BM30" s="144"/>
      <c r="BN30" s="265">
        <f>SUM(BN10:BN29)</f>
        <v>302424715.89193231</v>
      </c>
      <c r="BO30" s="266">
        <f>SUM(BO10:BO29)</f>
        <v>0.99999999999999989</v>
      </c>
      <c r="BP30" s="176"/>
      <c r="BQ30" s="147"/>
      <c r="BR30" s="176"/>
      <c r="BS30" s="176"/>
      <c r="BT30" s="176"/>
      <c r="BU30" s="176"/>
      <c r="BV30" s="176"/>
      <c r="BW30" s="176"/>
      <c r="BX30" s="176"/>
      <c r="BY30" s="176"/>
      <c r="BZ30" s="176"/>
    </row>
    <row r="31" spans="4:78" ht="18" customHeight="1" x14ac:dyDescent="0.2">
      <c r="D31" s="240"/>
      <c r="E31" s="242" t="s">
        <v>166</v>
      </c>
      <c r="F31" s="271" t="s">
        <v>256</v>
      </c>
      <c r="G31" s="244" t="s">
        <v>4</v>
      </c>
      <c r="H31" s="244">
        <v>43.670000000000009</v>
      </c>
      <c r="I31" s="245">
        <f>+$AB$81</f>
        <v>7920.91</v>
      </c>
      <c r="J31" s="245">
        <f>ROUND(I31*H31,2)</f>
        <v>345906.14</v>
      </c>
      <c r="K31" s="246"/>
      <c r="L31" s="247">
        <f t="shared" si="7"/>
        <v>1.817421161279482E-3</v>
      </c>
      <c r="M31" s="379">
        <f t="shared" si="3"/>
        <v>1.817421161279482E-3</v>
      </c>
      <c r="P31" s="221" t="s">
        <v>50</v>
      </c>
      <c r="Q31" s="222" t="s">
        <v>28</v>
      </c>
      <c r="R31" s="219">
        <v>0.03</v>
      </c>
      <c r="S31" s="219">
        <v>16497.580000000002</v>
      </c>
      <c r="T31" s="223">
        <f>+ROUND(R31*S31,2)</f>
        <v>494.93</v>
      </c>
      <c r="U31" s="201"/>
      <c r="V31" s="153"/>
      <c r="W31" s="143"/>
      <c r="X31" s="216" t="s">
        <v>356</v>
      </c>
      <c r="Y31" s="213" t="s">
        <v>66</v>
      </c>
      <c r="Z31" s="214">
        <v>1</v>
      </c>
      <c r="AA31" s="214">
        <v>4441229.0475000003</v>
      </c>
      <c r="AB31" s="215">
        <f>+ROUND(Z31*AA31,2)</f>
        <v>4441229.05</v>
      </c>
      <c r="AC31" s="201"/>
      <c r="AD31" s="176"/>
      <c r="AE31" s="174"/>
      <c r="AF31" s="130" t="s">
        <v>223</v>
      </c>
      <c r="AG31" s="131" t="s">
        <v>39</v>
      </c>
      <c r="AH31" s="132">
        <v>90</v>
      </c>
      <c r="AI31" s="132">
        <v>26.528938000000004</v>
      </c>
      <c r="AJ31" s="215">
        <f t="shared" ref="AJ31:AJ34" si="8">+ROUND(AH31*AI31,2)</f>
        <v>2387.6</v>
      </c>
      <c r="AK31" s="133"/>
      <c r="AL31" s="176"/>
      <c r="AM31" s="174"/>
      <c r="AN31" s="224" t="s">
        <v>54</v>
      </c>
      <c r="AO31" s="225" t="s">
        <v>55</v>
      </c>
      <c r="AP31" s="226"/>
      <c r="AQ31" s="226">
        <v>1600.8</v>
      </c>
      <c r="AR31" s="215">
        <f>+ROUND(AP31*AQ31,2)</f>
        <v>0</v>
      </c>
      <c r="AS31" s="194"/>
      <c r="AT31" s="135"/>
      <c r="AU31" s="174"/>
      <c r="AV31" s="143"/>
      <c r="AW31" s="232" t="s">
        <v>51</v>
      </c>
      <c r="AX31" s="233"/>
      <c r="AY31" s="234"/>
      <c r="AZ31" s="234"/>
      <c r="BA31" s="235">
        <f>SUM(BA28:BA30)</f>
        <v>0</v>
      </c>
      <c r="BB31" s="235"/>
      <c r="BC31" s="135"/>
      <c r="BD31" s="232" t="s">
        <v>51</v>
      </c>
      <c r="BE31" s="233"/>
      <c r="BF31" s="234"/>
      <c r="BG31" s="234"/>
      <c r="BH31" s="235">
        <f>SUM(BH29:BH30)</f>
        <v>1212.31</v>
      </c>
      <c r="BI31" s="235"/>
      <c r="BJ31" s="194"/>
      <c r="BK31" s="164"/>
      <c r="BL31" s="164"/>
      <c r="BM31" s="145"/>
      <c r="BN31" s="268"/>
      <c r="BO31" s="269"/>
      <c r="BP31" s="176"/>
      <c r="BQ31" s="147"/>
      <c r="BR31" s="176"/>
      <c r="BS31" s="176"/>
      <c r="BT31" s="176"/>
      <c r="BU31" s="176"/>
      <c r="BV31" s="176"/>
      <c r="BW31" s="176"/>
      <c r="BX31" s="176"/>
      <c r="BY31" s="176"/>
      <c r="BZ31" s="176"/>
    </row>
    <row r="32" spans="4:78" ht="18" customHeight="1" x14ac:dyDescent="0.2">
      <c r="D32" s="240"/>
      <c r="E32" s="242" t="s">
        <v>167</v>
      </c>
      <c r="F32" s="271" t="s">
        <v>257</v>
      </c>
      <c r="G32" s="244" t="s">
        <v>4</v>
      </c>
      <c r="H32" s="244">
        <v>19.360000000000003</v>
      </c>
      <c r="I32" s="245">
        <f>+$AB$100</f>
        <v>14954.19</v>
      </c>
      <c r="J32" s="245">
        <f t="shared" ref="J32:J35" si="9">ROUND(I32*H32,2)</f>
        <v>289513.12</v>
      </c>
      <c r="K32" s="246"/>
      <c r="L32" s="247">
        <f t="shared" si="7"/>
        <v>1.521127294115236E-3</v>
      </c>
      <c r="M32" s="379">
        <f t="shared" si="3"/>
        <v>1.521127294115236E-3</v>
      </c>
      <c r="P32" s="232" t="s">
        <v>51</v>
      </c>
      <c r="Q32" s="233"/>
      <c r="R32" s="234"/>
      <c r="S32" s="234"/>
      <c r="T32" s="235">
        <f>SUM(T30:T31)</f>
        <v>16992.510000000002</v>
      </c>
      <c r="U32" s="235"/>
      <c r="V32" s="194"/>
      <c r="W32" s="143"/>
      <c r="X32" s="216" t="s">
        <v>273</v>
      </c>
      <c r="Y32" s="213" t="s">
        <v>66</v>
      </c>
      <c r="Z32" s="214">
        <v>1</v>
      </c>
      <c r="AA32" s="214">
        <v>62300</v>
      </c>
      <c r="AB32" s="215">
        <f t="shared" ref="AB32" si="10">+ROUND(Z32*AA32,2)</f>
        <v>62300</v>
      </c>
      <c r="AC32" s="201"/>
      <c r="AD32" s="176"/>
      <c r="AE32" s="174"/>
      <c r="AF32" s="130" t="s">
        <v>45</v>
      </c>
      <c r="AG32" s="131" t="s">
        <v>46</v>
      </c>
      <c r="AH32" s="132">
        <v>0.36</v>
      </c>
      <c r="AI32" s="132">
        <v>2066.1157024793388</v>
      </c>
      <c r="AJ32" s="215">
        <f t="shared" si="8"/>
        <v>743.8</v>
      </c>
      <c r="AK32" s="134"/>
      <c r="AL32" s="176"/>
      <c r="AM32" s="174"/>
      <c r="AN32" s="224" t="s">
        <v>56</v>
      </c>
      <c r="AO32" s="225" t="s">
        <v>55</v>
      </c>
      <c r="AP32" s="226"/>
      <c r="AQ32" s="226">
        <v>1354.6999999999998</v>
      </c>
      <c r="AR32" s="215">
        <f>+ROUND(AP32*AQ32,2)</f>
        <v>0</v>
      </c>
      <c r="AS32" s="194"/>
      <c r="AT32" s="135"/>
      <c r="AU32" s="174"/>
      <c r="AV32" s="143"/>
      <c r="AW32" s="197" t="s">
        <v>53</v>
      </c>
      <c r="AX32" s="198"/>
      <c r="AY32" s="199"/>
      <c r="AZ32" s="199"/>
      <c r="BA32" s="200"/>
      <c r="BB32" s="153"/>
      <c r="BC32" s="135"/>
      <c r="BD32" s="197" t="s">
        <v>53</v>
      </c>
      <c r="BE32" s="198"/>
      <c r="BF32" s="199"/>
      <c r="BG32" s="199"/>
      <c r="BH32" s="200"/>
      <c r="BI32" s="153"/>
      <c r="BJ32" s="194"/>
      <c r="BK32" s="164"/>
      <c r="BL32" s="163"/>
      <c r="BM32" s="164"/>
      <c r="BN32" s="144"/>
      <c r="BO32" s="270"/>
      <c r="BP32" s="176"/>
      <c r="BQ32" s="147"/>
      <c r="BR32" s="176"/>
      <c r="BS32" s="176"/>
      <c r="BT32" s="176"/>
      <c r="BU32" s="176"/>
      <c r="BV32" s="176"/>
      <c r="BW32" s="176"/>
      <c r="BX32" s="176"/>
      <c r="BY32" s="176"/>
      <c r="BZ32" s="176"/>
    </row>
    <row r="33" spans="4:78" ht="18" customHeight="1" x14ac:dyDescent="0.2">
      <c r="D33" s="240"/>
      <c r="E33" s="242" t="s">
        <v>241</v>
      </c>
      <c r="F33" s="271" t="s">
        <v>266</v>
      </c>
      <c r="G33" s="244" t="s">
        <v>4</v>
      </c>
      <c r="H33" s="244">
        <v>13.640000000000002</v>
      </c>
      <c r="I33" s="245">
        <f>+$AB$119</f>
        <v>6605.05</v>
      </c>
      <c r="J33" s="245">
        <f t="shared" si="9"/>
        <v>90092.88</v>
      </c>
      <c r="K33" s="246"/>
      <c r="L33" s="247">
        <f t="shared" si="7"/>
        <v>4.7335588374526405E-4</v>
      </c>
      <c r="M33" s="379">
        <f t="shared" si="3"/>
        <v>4.7335588374526405E-4</v>
      </c>
      <c r="P33" s="197" t="s">
        <v>53</v>
      </c>
      <c r="Q33" s="198"/>
      <c r="R33" s="199"/>
      <c r="S33" s="199"/>
      <c r="T33" s="200"/>
      <c r="U33" s="153"/>
      <c r="V33" s="194"/>
      <c r="W33" s="143"/>
      <c r="X33" s="224" t="s">
        <v>50</v>
      </c>
      <c r="Y33" s="225" t="s">
        <v>28</v>
      </c>
      <c r="Z33" s="226">
        <v>0.03</v>
      </c>
      <c r="AA33" s="219">
        <v>1351058.7149999999</v>
      </c>
      <c r="AB33" s="223">
        <f>+ROUND(Z33*AA33,2)</f>
        <v>40531.760000000002</v>
      </c>
      <c r="AC33" s="201"/>
      <c r="AD33" s="153"/>
      <c r="AE33" s="174"/>
      <c r="AF33" s="130" t="s">
        <v>205</v>
      </c>
      <c r="AG33" s="131" t="s">
        <v>39</v>
      </c>
      <c r="AH33" s="132">
        <v>1.7849999999999999</v>
      </c>
      <c r="AI33" s="132">
        <v>27.236208000000001</v>
      </c>
      <c r="AJ33" s="215">
        <f t="shared" si="8"/>
        <v>48.62</v>
      </c>
      <c r="AK33" s="134"/>
      <c r="AL33" s="176"/>
      <c r="AM33" s="174"/>
      <c r="AN33" s="248"/>
      <c r="AO33" s="249"/>
      <c r="AP33" s="219"/>
      <c r="AQ33" s="219"/>
      <c r="AR33" s="215"/>
      <c r="AS33" s="194"/>
      <c r="AT33" s="135"/>
      <c r="AU33" s="174"/>
      <c r="AV33" s="143"/>
      <c r="AW33" s="224" t="s">
        <v>54</v>
      </c>
      <c r="AX33" s="225" t="s">
        <v>55</v>
      </c>
      <c r="AY33" s="226">
        <v>40</v>
      </c>
      <c r="AZ33" s="226">
        <v>1600.8</v>
      </c>
      <c r="BA33" s="215">
        <f>+ROUND(AY33*AZ33,2)</f>
        <v>64032</v>
      </c>
      <c r="BB33" s="194"/>
      <c r="BC33" s="135"/>
      <c r="BD33" s="224" t="s">
        <v>54</v>
      </c>
      <c r="BE33" s="225" t="s">
        <v>55</v>
      </c>
      <c r="BF33" s="226">
        <v>0.3</v>
      </c>
      <c r="BG33" s="226">
        <v>1600.8</v>
      </c>
      <c r="BH33" s="215">
        <f>+ROUND(BF33*BG33,2)</f>
        <v>480.24</v>
      </c>
      <c r="BI33" s="194"/>
      <c r="BJ33" s="194"/>
      <c r="BK33" s="164"/>
      <c r="BL33" s="144"/>
      <c r="BM33" s="194"/>
      <c r="BN33" s="272">
        <f>+$K$128</f>
        <v>302424715.89193231</v>
      </c>
      <c r="BO33" s="272">
        <f>BO30-1</f>
        <v>0</v>
      </c>
      <c r="BP33" s="176"/>
      <c r="BQ33" s="147"/>
      <c r="BR33" s="176"/>
      <c r="BS33" s="176"/>
      <c r="BT33" s="176"/>
      <c r="BU33" s="176"/>
      <c r="BV33" s="176"/>
      <c r="BW33" s="176"/>
      <c r="BX33" s="176"/>
      <c r="BY33" s="176"/>
      <c r="BZ33" s="176"/>
    </row>
    <row r="34" spans="4:78" ht="18" customHeight="1" x14ac:dyDescent="0.2">
      <c r="D34" s="240"/>
      <c r="E34" s="242" t="s">
        <v>253</v>
      </c>
      <c r="F34" s="271" t="s">
        <v>267</v>
      </c>
      <c r="G34" s="244" t="s">
        <v>4</v>
      </c>
      <c r="H34" s="244">
        <v>22.220000000000002</v>
      </c>
      <c r="I34" s="245">
        <f>+$AB$138</f>
        <v>12322.48</v>
      </c>
      <c r="J34" s="245">
        <f t="shared" si="9"/>
        <v>273805.51</v>
      </c>
      <c r="K34" s="246"/>
      <c r="L34" s="247">
        <f t="shared" si="7"/>
        <v>1.4385981351730873E-3</v>
      </c>
      <c r="M34" s="379">
        <f t="shared" si="3"/>
        <v>1.4385981351730873E-3</v>
      </c>
      <c r="P34" s="224" t="s">
        <v>54</v>
      </c>
      <c r="Q34" s="225" t="s">
        <v>55</v>
      </c>
      <c r="R34" s="226">
        <v>0.6</v>
      </c>
      <c r="S34" s="226">
        <v>1600.8</v>
      </c>
      <c r="T34" s="215">
        <f>+ROUND(R34*S34,2)</f>
        <v>960.48</v>
      </c>
      <c r="U34" s="194"/>
      <c r="V34" s="194"/>
      <c r="W34" s="143"/>
      <c r="X34" s="232" t="s">
        <v>51</v>
      </c>
      <c r="Y34" s="233"/>
      <c r="Z34" s="234"/>
      <c r="AA34" s="234"/>
      <c r="AB34" s="235">
        <f>SUM(AB31:AB33)</f>
        <v>4544060.8099999996</v>
      </c>
      <c r="AC34" s="235"/>
      <c r="AD34" s="194"/>
      <c r="AE34" s="174"/>
      <c r="AF34" s="224" t="s">
        <v>50</v>
      </c>
      <c r="AG34" s="225" t="s">
        <v>28</v>
      </c>
      <c r="AH34" s="226">
        <v>0.03</v>
      </c>
      <c r="AI34" s="219">
        <v>14040.52</v>
      </c>
      <c r="AJ34" s="215">
        <f t="shared" si="8"/>
        <v>421.22</v>
      </c>
      <c r="AK34" s="201"/>
      <c r="AL34" s="153"/>
      <c r="AM34" s="174"/>
      <c r="AN34" s="232" t="s">
        <v>57</v>
      </c>
      <c r="AO34" s="233"/>
      <c r="AP34" s="234"/>
      <c r="AQ34" s="234"/>
      <c r="AR34" s="235">
        <f>SUM(AR31:AR33)</f>
        <v>0</v>
      </c>
      <c r="AT34" s="135"/>
      <c r="AU34" s="174"/>
      <c r="AV34" s="143"/>
      <c r="AW34" s="224" t="s">
        <v>56</v>
      </c>
      <c r="AX34" s="225" t="s">
        <v>55</v>
      </c>
      <c r="AY34" s="226">
        <v>40</v>
      </c>
      <c r="AZ34" s="226">
        <v>1354.6999999999998</v>
      </c>
      <c r="BA34" s="215">
        <f>+ROUND(AY34*AZ34,2)</f>
        <v>54188</v>
      </c>
      <c r="BB34" s="194"/>
      <c r="BC34" s="135"/>
      <c r="BD34" s="224" t="s">
        <v>56</v>
      </c>
      <c r="BE34" s="225" t="s">
        <v>55</v>
      </c>
      <c r="BF34" s="226"/>
      <c r="BG34" s="226">
        <v>1354.6999999999998</v>
      </c>
      <c r="BH34" s="215">
        <f>+ROUND(BF34*BG34,2)</f>
        <v>0</v>
      </c>
      <c r="BI34" s="194"/>
      <c r="BK34" s="144"/>
      <c r="BL34" s="144"/>
      <c r="BM34" s="194"/>
      <c r="BN34" s="136">
        <f>+BN33-BN30</f>
        <v>0</v>
      </c>
      <c r="BO34" s="136"/>
      <c r="BP34" s="176"/>
      <c r="BQ34" s="273"/>
      <c r="BR34" s="176"/>
      <c r="BS34" s="176"/>
      <c r="BT34" s="176"/>
      <c r="BU34" s="176"/>
      <c r="BV34" s="176"/>
      <c r="BW34" s="176"/>
      <c r="BX34" s="176"/>
      <c r="BY34" s="176"/>
      <c r="BZ34" s="176"/>
    </row>
    <row r="35" spans="4:78" ht="18" customHeight="1" x14ac:dyDescent="0.2">
      <c r="D35" s="240"/>
      <c r="E35" s="242" t="s">
        <v>254</v>
      </c>
      <c r="F35" s="271" t="s">
        <v>268</v>
      </c>
      <c r="G35" s="244" t="s">
        <v>4</v>
      </c>
      <c r="H35" s="244">
        <v>13.200000000000001</v>
      </c>
      <c r="I35" s="245">
        <f>+$AB$176</f>
        <v>11701.2</v>
      </c>
      <c r="J35" s="245">
        <f t="shared" si="9"/>
        <v>154455.84</v>
      </c>
      <c r="K35" s="246"/>
      <c r="L35" s="247">
        <f t="shared" si="7"/>
        <v>8.1152451384412512E-4</v>
      </c>
      <c r="M35" s="379">
        <f t="shared" si="3"/>
        <v>8.1152451384412512E-4</v>
      </c>
      <c r="P35" s="224" t="s">
        <v>56</v>
      </c>
      <c r="Q35" s="225" t="s">
        <v>55</v>
      </c>
      <c r="R35" s="226">
        <v>0.6</v>
      </c>
      <c r="S35" s="226">
        <v>1354.6999999999998</v>
      </c>
      <c r="T35" s="215">
        <f>+ROUND(R35*S35,2)</f>
        <v>812.82</v>
      </c>
      <c r="U35" s="194"/>
      <c r="V35" s="194"/>
      <c r="W35" s="143"/>
      <c r="X35" s="197" t="s">
        <v>53</v>
      </c>
      <c r="Y35" s="198"/>
      <c r="Z35" s="199"/>
      <c r="AA35" s="199"/>
      <c r="AB35" s="200"/>
      <c r="AC35" s="241"/>
      <c r="AD35" s="194"/>
      <c r="AE35" s="174"/>
      <c r="AF35" s="232" t="s">
        <v>51</v>
      </c>
      <c r="AG35" s="233"/>
      <c r="AH35" s="234"/>
      <c r="AI35" s="234"/>
      <c r="AJ35" s="235">
        <f>SUM(AJ30:AJ34)</f>
        <v>14461.74</v>
      </c>
      <c r="AK35" s="235"/>
      <c r="AL35" s="194"/>
      <c r="AM35" s="174"/>
      <c r="AN35" s="197" t="s">
        <v>58</v>
      </c>
      <c r="AO35" s="198"/>
      <c r="AP35" s="199"/>
      <c r="AQ35" s="199"/>
      <c r="AR35" s="200"/>
      <c r="AS35" s="153"/>
      <c r="AT35" s="135"/>
      <c r="AU35" s="174"/>
      <c r="AV35" s="143"/>
      <c r="AW35" s="248"/>
      <c r="AX35" s="249"/>
      <c r="AY35" s="219"/>
      <c r="AZ35" s="219"/>
      <c r="BA35" s="215"/>
      <c r="BB35" s="194"/>
      <c r="BC35" s="135"/>
      <c r="BD35" s="248"/>
      <c r="BE35" s="249"/>
      <c r="BF35" s="219"/>
      <c r="BG35" s="219"/>
      <c r="BH35" s="215"/>
      <c r="BI35" s="194"/>
      <c r="BK35" s="144"/>
      <c r="BL35" s="144"/>
      <c r="BM35" s="194"/>
      <c r="BN35" s="194"/>
      <c r="BO35" s="194"/>
      <c r="BP35" s="176"/>
      <c r="BQ35" s="147"/>
      <c r="BR35" s="176"/>
      <c r="BS35" s="176"/>
      <c r="BT35" s="176"/>
      <c r="BU35" s="176"/>
      <c r="BV35" s="176"/>
      <c r="BW35" s="176"/>
      <c r="BX35" s="176"/>
      <c r="BY35" s="176"/>
      <c r="BZ35" s="176"/>
    </row>
    <row r="36" spans="4:78" ht="18" customHeight="1" x14ac:dyDescent="0.2">
      <c r="D36" s="240"/>
      <c r="E36" s="242" t="s">
        <v>255</v>
      </c>
      <c r="F36" s="271" t="s">
        <v>272</v>
      </c>
      <c r="G36" s="244" t="s">
        <v>4</v>
      </c>
      <c r="H36" s="244">
        <v>26.400000000000002</v>
      </c>
      <c r="I36" s="245">
        <f>+$AB$157</f>
        <v>12322.48</v>
      </c>
      <c r="J36" s="245">
        <f>ROUND(I36*H36,2)</f>
        <v>325313.46999999997</v>
      </c>
      <c r="K36" s="246"/>
      <c r="L36" s="247">
        <f t="shared" si="7"/>
        <v>1.7092254691612526E-3</v>
      </c>
      <c r="M36" s="379">
        <f t="shared" si="3"/>
        <v>1.7092254691612526E-3</v>
      </c>
      <c r="P36" s="248"/>
      <c r="Q36" s="249"/>
      <c r="R36" s="219"/>
      <c r="S36" s="219"/>
      <c r="T36" s="215"/>
      <c r="U36" s="194"/>
      <c r="W36" s="143"/>
      <c r="X36" s="224" t="s">
        <v>54</v>
      </c>
      <c r="Y36" s="225" t="s">
        <v>55</v>
      </c>
      <c r="Z36" s="226">
        <v>440</v>
      </c>
      <c r="AA36" s="226">
        <v>1600.8</v>
      </c>
      <c r="AB36" s="215">
        <f>+ROUND(Z36*AA36,2)</f>
        <v>704352</v>
      </c>
      <c r="AC36" s="194"/>
      <c r="AD36" s="194"/>
      <c r="AE36" s="174"/>
      <c r="AF36" s="197" t="s">
        <v>53</v>
      </c>
      <c r="AG36" s="198"/>
      <c r="AH36" s="199"/>
      <c r="AI36" s="199"/>
      <c r="AJ36" s="200"/>
      <c r="AK36" s="241"/>
      <c r="AL36" s="194"/>
      <c r="AM36" s="174"/>
      <c r="AN36" s="252" t="s">
        <v>59</v>
      </c>
      <c r="AO36" s="213" t="s">
        <v>60</v>
      </c>
      <c r="AP36" s="226">
        <v>40</v>
      </c>
      <c r="AQ36" s="226">
        <v>1.9600688000000004</v>
      </c>
      <c r="AR36" s="215">
        <f>+ROUND(AP36*AQ36,2)</f>
        <v>78.400000000000006</v>
      </c>
      <c r="AS36" s="194"/>
      <c r="AT36" s="135"/>
      <c r="AU36" s="174"/>
      <c r="AV36" s="143"/>
      <c r="AW36" s="232" t="s">
        <v>57</v>
      </c>
      <c r="AX36" s="233"/>
      <c r="AY36" s="234"/>
      <c r="AZ36" s="234"/>
      <c r="BA36" s="235">
        <f>SUM(BA33:BA35)</f>
        <v>118220</v>
      </c>
      <c r="BC36" s="135"/>
      <c r="BD36" s="232" t="s">
        <v>57</v>
      </c>
      <c r="BE36" s="233"/>
      <c r="BF36" s="234"/>
      <c r="BG36" s="234"/>
      <c r="BH36" s="235">
        <f>SUM(BH33:BH35)</f>
        <v>480.24</v>
      </c>
      <c r="BJ36" s="149"/>
      <c r="BK36" s="164"/>
      <c r="BL36" s="144"/>
      <c r="BM36" s="194"/>
      <c r="BN36" s="194"/>
      <c r="BO36" s="194"/>
      <c r="BP36" s="176"/>
      <c r="BQ36" s="147"/>
      <c r="BR36" s="176"/>
      <c r="BS36" s="176"/>
      <c r="BT36" s="176"/>
      <c r="BU36" s="176"/>
      <c r="BV36" s="176"/>
      <c r="BW36" s="176"/>
      <c r="BX36" s="176"/>
      <c r="BY36" s="176"/>
      <c r="BZ36" s="176"/>
    </row>
    <row r="37" spans="4:78" ht="18" customHeight="1" x14ac:dyDescent="0.2">
      <c r="D37" s="240"/>
      <c r="E37" s="242" t="s">
        <v>258</v>
      </c>
      <c r="F37" s="271" t="s">
        <v>271</v>
      </c>
      <c r="G37" s="244" t="s">
        <v>4</v>
      </c>
      <c r="H37" s="244">
        <v>15.98</v>
      </c>
      <c r="I37" s="245">
        <f>+$AB$195</f>
        <v>148090.25</v>
      </c>
      <c r="J37" s="245">
        <f t="shared" ref="J37" si="11">ROUND(I37*H37,2)</f>
        <v>2366482.2000000002</v>
      </c>
      <c r="K37" s="246"/>
      <c r="L37" s="247">
        <f t="shared" si="7"/>
        <v>1.2433704784977866E-2</v>
      </c>
      <c r="M37" s="379">
        <f t="shared" si="3"/>
        <v>1.2433704784977866E-2</v>
      </c>
      <c r="P37" s="232" t="s">
        <v>57</v>
      </c>
      <c r="Q37" s="233"/>
      <c r="R37" s="234"/>
      <c r="S37" s="234"/>
      <c r="T37" s="235">
        <f>SUM(T34:T36)</f>
        <v>1773.3000000000002</v>
      </c>
      <c r="V37" s="149"/>
      <c r="W37" s="143"/>
      <c r="X37" s="224" t="s">
        <v>56</v>
      </c>
      <c r="Y37" s="225" t="s">
        <v>55</v>
      </c>
      <c r="Z37" s="226">
        <v>440</v>
      </c>
      <c r="AA37" s="226">
        <v>1354.6999999999998</v>
      </c>
      <c r="AB37" s="215">
        <f>+ROUND(Z37*AA37,2)</f>
        <v>596068</v>
      </c>
      <c r="AC37" s="194"/>
      <c r="AD37" s="194"/>
      <c r="AE37" s="174"/>
      <c r="AF37" s="224" t="s">
        <v>54</v>
      </c>
      <c r="AG37" s="225" t="s">
        <v>55</v>
      </c>
      <c r="AH37" s="226">
        <v>8</v>
      </c>
      <c r="AI37" s="226">
        <v>1600.8</v>
      </c>
      <c r="AJ37" s="215">
        <f>+ROUND(AH37*AI37,2)</f>
        <v>12806.4</v>
      </c>
      <c r="AK37" s="194"/>
      <c r="AL37" s="194"/>
      <c r="AM37" s="174"/>
      <c r="AN37" s="202" t="s">
        <v>62</v>
      </c>
      <c r="AO37" s="250"/>
      <c r="AP37" s="168"/>
      <c r="AQ37" s="168"/>
      <c r="AR37" s="251">
        <f>SUM(AR36:AR36)</f>
        <v>78.400000000000006</v>
      </c>
      <c r="AS37" s="194"/>
      <c r="AT37" s="135"/>
      <c r="AU37" s="174"/>
      <c r="AV37" s="143"/>
      <c r="AW37" s="197" t="s">
        <v>58</v>
      </c>
      <c r="AX37" s="198"/>
      <c r="AY37" s="199"/>
      <c r="AZ37" s="199"/>
      <c r="BA37" s="200"/>
      <c r="BB37" s="153"/>
      <c r="BC37" s="135"/>
      <c r="BD37" s="197" t="s">
        <v>58</v>
      </c>
      <c r="BE37" s="198"/>
      <c r="BF37" s="199"/>
      <c r="BG37" s="199"/>
      <c r="BH37" s="200"/>
      <c r="BI37" s="153"/>
      <c r="BK37" s="164"/>
      <c r="BL37" s="144"/>
      <c r="BM37" s="194"/>
      <c r="BN37" s="194"/>
      <c r="BO37" s="194"/>
      <c r="BP37" s="176"/>
      <c r="BQ37" s="147"/>
      <c r="BR37" s="176"/>
      <c r="BS37" s="176"/>
      <c r="BT37" s="176"/>
      <c r="BU37" s="176"/>
      <c r="BV37" s="176"/>
      <c r="BW37" s="176"/>
      <c r="BX37" s="176"/>
      <c r="BY37" s="176"/>
      <c r="BZ37" s="176"/>
    </row>
    <row r="38" spans="4:78" ht="18" customHeight="1" x14ac:dyDescent="0.2">
      <c r="D38" s="240"/>
      <c r="E38" s="242" t="s">
        <v>259</v>
      </c>
      <c r="F38" s="243" t="s">
        <v>340</v>
      </c>
      <c r="G38" s="244" t="s">
        <v>4</v>
      </c>
      <c r="H38" s="244">
        <v>280.5</v>
      </c>
      <c r="I38" s="245">
        <f>+$AB$214</f>
        <v>4118.9999999999991</v>
      </c>
      <c r="J38" s="245">
        <f>ROUND(I38*H38,2)</f>
        <v>1155379.5</v>
      </c>
      <c r="K38" s="246"/>
      <c r="L38" s="247">
        <f t="shared" si="7"/>
        <v>6.0704651053852567E-3</v>
      </c>
      <c r="M38" s="379">
        <f t="shared" si="3"/>
        <v>6.0704651053852567E-3</v>
      </c>
      <c r="P38" s="202"/>
      <c r="Q38" s="250"/>
      <c r="R38" s="168"/>
      <c r="S38" s="168"/>
      <c r="T38" s="251"/>
      <c r="V38" s="149"/>
      <c r="W38" s="143"/>
      <c r="X38" s="248"/>
      <c r="Y38" s="249"/>
      <c r="Z38" s="219"/>
      <c r="AA38" s="219"/>
      <c r="AB38" s="215"/>
      <c r="AC38" s="194"/>
      <c r="AE38" s="174"/>
      <c r="AF38" s="224" t="s">
        <v>56</v>
      </c>
      <c r="AG38" s="225" t="s">
        <v>55</v>
      </c>
      <c r="AH38" s="226">
        <v>8</v>
      </c>
      <c r="AI38" s="226">
        <v>1354.6999999999998</v>
      </c>
      <c r="AJ38" s="215">
        <f>+ROUND(AH38*AI38,2)</f>
        <v>10837.6</v>
      </c>
      <c r="AK38" s="194"/>
      <c r="AL38" s="194"/>
      <c r="AM38" s="174"/>
      <c r="AN38" s="253" t="s">
        <v>63</v>
      </c>
      <c r="AO38" s="233"/>
      <c r="AP38" s="254" t="s">
        <v>64</v>
      </c>
      <c r="AQ38" s="255"/>
      <c r="AR38" s="256">
        <f>+AR29+AR34+AR37</f>
        <v>8011.1799999999994</v>
      </c>
      <c r="AS38" s="194"/>
      <c r="AT38" s="135"/>
      <c r="AU38" s="174"/>
      <c r="AV38" s="143"/>
      <c r="AW38" s="252" t="s">
        <v>59</v>
      </c>
      <c r="AX38" s="213" t="s">
        <v>60</v>
      </c>
      <c r="AY38" s="226">
        <v>360</v>
      </c>
      <c r="AZ38" s="226">
        <v>1.9600688000000004</v>
      </c>
      <c r="BA38" s="215">
        <f>+ROUND(AY38*AZ38,2)</f>
        <v>705.62</v>
      </c>
      <c r="BB38" s="194"/>
      <c r="BC38" s="135"/>
      <c r="BD38" s="252" t="s">
        <v>59</v>
      </c>
      <c r="BE38" s="213" t="s">
        <v>60</v>
      </c>
      <c r="BF38" s="226">
        <v>0</v>
      </c>
      <c r="BG38" s="226">
        <v>1.9600688000000004</v>
      </c>
      <c r="BH38" s="215">
        <f>+ROUND(BF38*BG38,2)</f>
        <v>0</v>
      </c>
      <c r="BI38" s="194"/>
      <c r="BK38" s="164"/>
      <c r="BL38" s="144"/>
      <c r="BM38" s="194"/>
      <c r="BN38" s="194"/>
      <c r="BO38" s="194"/>
      <c r="BP38" s="176"/>
      <c r="BQ38" s="147"/>
      <c r="BR38" s="176"/>
      <c r="BS38" s="176"/>
      <c r="BT38" s="176"/>
      <c r="BU38" s="176"/>
      <c r="BV38" s="176"/>
      <c r="BW38" s="176"/>
      <c r="BX38" s="176"/>
      <c r="BY38" s="176"/>
      <c r="BZ38" s="176"/>
    </row>
    <row r="39" spans="4:78" ht="18" customHeight="1" x14ac:dyDescent="0.2">
      <c r="D39" s="240"/>
      <c r="E39" s="242" t="s">
        <v>265</v>
      </c>
      <c r="F39" s="243" t="s">
        <v>270</v>
      </c>
      <c r="G39" s="244" t="s">
        <v>4</v>
      </c>
      <c r="H39" s="244">
        <v>123</v>
      </c>
      <c r="I39" s="245">
        <f>+$AB$214</f>
        <v>4118.9999999999991</v>
      </c>
      <c r="J39" s="245">
        <f>ROUND(I39*H39,2)</f>
        <v>506637</v>
      </c>
      <c r="K39" s="246"/>
      <c r="L39" s="247">
        <f t="shared" si="7"/>
        <v>2.6619151799015563E-3</v>
      </c>
      <c r="M39" s="379">
        <f t="shared" si="3"/>
        <v>2.6619151799015563E-3</v>
      </c>
      <c r="P39" s="197" t="s">
        <v>58</v>
      </c>
      <c r="Q39" s="198"/>
      <c r="R39" s="199"/>
      <c r="S39" s="199"/>
      <c r="T39" s="200"/>
      <c r="U39" s="153"/>
      <c r="W39" s="143"/>
      <c r="X39" s="232" t="s">
        <v>57</v>
      </c>
      <c r="Y39" s="233"/>
      <c r="Z39" s="234"/>
      <c r="AA39" s="234"/>
      <c r="AB39" s="235">
        <f>SUM(AB36:AB38)</f>
        <v>1300420</v>
      </c>
      <c r="AD39" s="149"/>
      <c r="AE39" s="174"/>
      <c r="AF39" s="248"/>
      <c r="AG39" s="249"/>
      <c r="AH39" s="219"/>
      <c r="AI39" s="219"/>
      <c r="AJ39" s="215"/>
      <c r="AK39" s="194"/>
      <c r="AM39" s="174"/>
      <c r="AN39" s="152"/>
      <c r="AO39" s="148"/>
      <c r="AP39" s="206"/>
      <c r="AQ39" s="194"/>
      <c r="AR39" s="144"/>
      <c r="AS39" s="194"/>
      <c r="AT39" s="135"/>
      <c r="AU39" s="174"/>
      <c r="AV39" s="143"/>
      <c r="AW39" s="202" t="s">
        <v>62</v>
      </c>
      <c r="AX39" s="250"/>
      <c r="AY39" s="168"/>
      <c r="AZ39" s="168"/>
      <c r="BA39" s="251">
        <f>SUM(BA38:BA38)</f>
        <v>705.62</v>
      </c>
      <c r="BB39" s="194"/>
      <c r="BC39" s="135"/>
      <c r="BD39" s="248"/>
      <c r="BE39" s="249"/>
      <c r="BF39" s="219"/>
      <c r="BG39" s="219"/>
      <c r="BH39" s="215">
        <f>+ROUND(BF39*BG39,2)</f>
        <v>0</v>
      </c>
      <c r="BI39" s="194"/>
      <c r="BK39" s="164"/>
      <c r="BL39" s="144"/>
      <c r="BM39" s="194"/>
      <c r="BN39" s="194"/>
      <c r="BO39" s="194"/>
      <c r="BP39" s="176"/>
      <c r="BQ39" s="147"/>
      <c r="BR39" s="176"/>
      <c r="BS39" s="176"/>
      <c r="BT39" s="176"/>
      <c r="BU39" s="176"/>
      <c r="BV39" s="176"/>
      <c r="BW39" s="176"/>
      <c r="BX39" s="176"/>
      <c r="BY39" s="176"/>
      <c r="BZ39" s="176"/>
    </row>
    <row r="40" spans="4:78" ht="18" customHeight="1" x14ac:dyDescent="0.2">
      <c r="D40" s="240"/>
      <c r="E40" s="395">
        <v>5</v>
      </c>
      <c r="F40" s="396" t="s">
        <v>141</v>
      </c>
      <c r="G40" s="397"/>
      <c r="H40" s="398"/>
      <c r="I40" s="398"/>
      <c r="J40" s="398"/>
      <c r="K40" s="399">
        <f>SUM(J41:J44)</f>
        <v>1459132.3300000003</v>
      </c>
      <c r="L40" s="400">
        <f>+K40/$K$120</f>
        <v>7.6664090832531534E-3</v>
      </c>
      <c r="M40" s="379"/>
      <c r="P40" s="252" t="s">
        <v>59</v>
      </c>
      <c r="Q40" s="213" t="s">
        <v>60</v>
      </c>
      <c r="R40" s="226">
        <v>60</v>
      </c>
      <c r="S40" s="226">
        <v>1.9600688000000004</v>
      </c>
      <c r="T40" s="215">
        <f>+ROUND(R40*S40,2)</f>
        <v>117.6</v>
      </c>
      <c r="U40" s="194"/>
      <c r="W40" s="143"/>
      <c r="X40" s="197" t="s">
        <v>58</v>
      </c>
      <c r="Y40" s="198"/>
      <c r="Z40" s="199"/>
      <c r="AA40" s="199"/>
      <c r="AB40" s="200"/>
      <c r="AC40" s="153"/>
      <c r="AE40" s="174"/>
      <c r="AF40" s="232" t="s">
        <v>57</v>
      </c>
      <c r="AG40" s="233"/>
      <c r="AH40" s="234"/>
      <c r="AI40" s="234"/>
      <c r="AJ40" s="235">
        <f>SUM(AJ37:AJ39)</f>
        <v>23644</v>
      </c>
      <c r="AL40" s="149"/>
      <c r="AM40" s="174"/>
      <c r="AN40" s="155" t="s">
        <v>388</v>
      </c>
      <c r="AO40" s="169"/>
      <c r="AP40" s="172"/>
      <c r="AQ40" s="172"/>
      <c r="AR40" s="173"/>
      <c r="AS40" s="154"/>
      <c r="AT40" s="163"/>
      <c r="AU40" s="174"/>
      <c r="AV40" s="143"/>
      <c r="AW40" s="253" t="s">
        <v>63</v>
      </c>
      <c r="AX40" s="233"/>
      <c r="AY40" s="254" t="s">
        <v>64</v>
      </c>
      <c r="AZ40" s="255"/>
      <c r="BA40" s="256">
        <f>+BA31+BA36+BA39</f>
        <v>118925.62</v>
      </c>
      <c r="BB40" s="194"/>
      <c r="BC40" s="135"/>
      <c r="BD40" s="202" t="s">
        <v>62</v>
      </c>
      <c r="BE40" s="250"/>
      <c r="BF40" s="168"/>
      <c r="BG40" s="168"/>
      <c r="BH40" s="251">
        <f>SUM(BH38:BH39)</f>
        <v>0</v>
      </c>
      <c r="BI40" s="194"/>
      <c r="BJ40" s="135"/>
      <c r="BK40" s="164"/>
      <c r="BL40" s="144"/>
      <c r="BM40" s="194"/>
      <c r="BN40" s="194"/>
      <c r="BO40" s="194"/>
      <c r="BP40" s="176"/>
      <c r="BQ40" s="189"/>
      <c r="BR40" s="176"/>
      <c r="BS40" s="176"/>
      <c r="BT40" s="176"/>
      <c r="BU40" s="176"/>
      <c r="BV40" s="176"/>
      <c r="BW40" s="176"/>
      <c r="BX40" s="176"/>
      <c r="BY40" s="176"/>
      <c r="BZ40" s="176"/>
    </row>
    <row r="41" spans="4:78" ht="18" customHeight="1" x14ac:dyDescent="0.2">
      <c r="D41" s="240"/>
      <c r="E41" s="242" t="s">
        <v>8</v>
      </c>
      <c r="F41" s="243" t="s">
        <v>279</v>
      </c>
      <c r="G41" s="244" t="s">
        <v>15</v>
      </c>
      <c r="H41" s="244">
        <v>35.110000000000007</v>
      </c>
      <c r="I41" s="245">
        <f>+$AJ$23</f>
        <v>39322.020000000004</v>
      </c>
      <c r="J41" s="245">
        <f>ROUND(I41*H41,2)</f>
        <v>1380596.12</v>
      </c>
      <c r="K41" s="246"/>
      <c r="L41" s="247">
        <f>+J41/$K$120</f>
        <v>7.2537729560635941E-3</v>
      </c>
      <c r="M41" s="379">
        <f t="shared" si="3"/>
        <v>7.2537729560635941E-3</v>
      </c>
      <c r="P41" s="224" t="s">
        <v>61</v>
      </c>
      <c r="Q41" s="225" t="s">
        <v>28</v>
      </c>
      <c r="R41" s="226"/>
      <c r="S41" s="226">
        <v>686.94</v>
      </c>
      <c r="T41" s="215">
        <f>+ROUND(R41*S41,2)</f>
        <v>0</v>
      </c>
      <c r="U41" s="194"/>
      <c r="W41" s="143"/>
      <c r="X41" s="252" t="s">
        <v>59</v>
      </c>
      <c r="Y41" s="213" t="s">
        <v>60</v>
      </c>
      <c r="Z41" s="226">
        <v>2500</v>
      </c>
      <c r="AA41" s="226">
        <v>1.9600688000000004</v>
      </c>
      <c r="AB41" s="215">
        <f>+ROUND(Z41*AA41,2)</f>
        <v>4900.17</v>
      </c>
      <c r="AC41" s="194"/>
      <c r="AE41" s="174"/>
      <c r="AF41" s="197" t="s">
        <v>58</v>
      </c>
      <c r="AG41" s="198"/>
      <c r="AH41" s="199"/>
      <c r="AI41" s="199"/>
      <c r="AJ41" s="200"/>
      <c r="AK41" s="153"/>
      <c r="AM41" s="174"/>
      <c r="AN41" s="177" t="s">
        <v>389</v>
      </c>
      <c r="AO41" s="150"/>
      <c r="AP41" s="178"/>
      <c r="AQ41" s="149"/>
      <c r="AR41" s="179" t="str">
        <f>$G$62</f>
        <v>m2</v>
      </c>
      <c r="AS41" s="180">
        <f>$H$62</f>
        <v>145.5</v>
      </c>
      <c r="AT41" s="145"/>
      <c r="AU41" s="174"/>
      <c r="AV41" s="143"/>
      <c r="AW41" s="152"/>
      <c r="AX41" s="148"/>
      <c r="AY41" s="206"/>
      <c r="AZ41" s="194"/>
      <c r="BA41" s="144"/>
      <c r="BB41" s="194"/>
      <c r="BC41" s="135"/>
      <c r="BD41" s="253" t="s">
        <v>63</v>
      </c>
      <c r="BE41" s="233"/>
      <c r="BF41" s="254" t="s">
        <v>64</v>
      </c>
      <c r="BG41" s="255"/>
      <c r="BH41" s="256">
        <f>+BH31+BH36+BH40</f>
        <v>1692.55</v>
      </c>
      <c r="BI41" s="194"/>
      <c r="BJ41" s="135"/>
      <c r="BK41" s="164"/>
      <c r="BL41" s="144"/>
      <c r="BM41" s="194"/>
      <c r="BN41" s="194"/>
      <c r="BO41" s="194"/>
      <c r="BP41" s="176"/>
      <c r="BQ41" s="189"/>
      <c r="BR41" s="176"/>
      <c r="BS41" s="176"/>
      <c r="BT41" s="176"/>
      <c r="BU41" s="176"/>
      <c r="BV41" s="176"/>
      <c r="BW41" s="176"/>
      <c r="BX41" s="176"/>
      <c r="BY41" s="176"/>
      <c r="BZ41" s="176"/>
    </row>
    <row r="42" spans="4:78" ht="18" customHeight="1" thickBot="1" x14ac:dyDescent="0.25">
      <c r="D42" s="240"/>
      <c r="E42" s="242" t="s">
        <v>21</v>
      </c>
      <c r="F42" s="243" t="s">
        <v>276</v>
      </c>
      <c r="G42" s="244" t="s">
        <v>15</v>
      </c>
      <c r="H42" s="244">
        <v>1.0449999999999999</v>
      </c>
      <c r="I42" s="245">
        <f>+$AJ$23</f>
        <v>39322.020000000004</v>
      </c>
      <c r="J42" s="245">
        <f>ROUND(I42*H42,2)</f>
        <v>41091.51</v>
      </c>
      <c r="K42" s="246"/>
      <c r="L42" s="247">
        <f>+J42/$K$120</f>
        <v>2.1589839319685811E-4</v>
      </c>
      <c r="M42" s="379">
        <f t="shared" si="3"/>
        <v>2.1589839319685811E-4</v>
      </c>
      <c r="O42" s="257"/>
      <c r="P42" s="221"/>
      <c r="Q42" s="222"/>
      <c r="R42" s="219"/>
      <c r="S42" s="219"/>
      <c r="T42" s="215">
        <f>+ROUND(R42*S42,2)</f>
        <v>0</v>
      </c>
      <c r="U42" s="194"/>
      <c r="V42" s="135"/>
      <c r="W42" s="143"/>
      <c r="X42" s="202" t="s">
        <v>62</v>
      </c>
      <c r="Y42" s="250"/>
      <c r="Z42" s="168"/>
      <c r="AA42" s="168"/>
      <c r="AB42" s="251">
        <f>SUM(AB41:AB41)</f>
        <v>4900.17</v>
      </c>
      <c r="AC42" s="194"/>
      <c r="AD42" s="135"/>
      <c r="AE42" s="174"/>
      <c r="AF42" s="252" t="s">
        <v>59</v>
      </c>
      <c r="AG42" s="213" t="s">
        <v>60</v>
      </c>
      <c r="AH42" s="226">
        <v>631.78499999999997</v>
      </c>
      <c r="AI42" s="226">
        <v>1.9600688000000004</v>
      </c>
      <c r="AJ42" s="215">
        <f>+ROUND(AH42*AI42,2)</f>
        <v>1238.3399999999999</v>
      </c>
      <c r="AK42" s="194"/>
      <c r="AM42" s="174"/>
      <c r="AN42" s="183"/>
      <c r="AO42" s="184"/>
      <c r="AP42" s="185"/>
      <c r="AQ42" s="185"/>
      <c r="AR42" s="186"/>
      <c r="AT42" s="153"/>
      <c r="AU42" s="174"/>
      <c r="AV42" s="143"/>
      <c r="AW42" s="155" t="s">
        <v>426</v>
      </c>
      <c r="AX42" s="169"/>
      <c r="AY42" s="172"/>
      <c r="AZ42" s="172"/>
      <c r="BA42" s="173"/>
      <c r="BB42" s="154"/>
      <c r="BC42" s="135"/>
      <c r="BD42" s="152"/>
      <c r="BE42" s="153"/>
      <c r="BF42" s="145"/>
      <c r="BG42" s="145"/>
      <c r="BH42" s="145"/>
      <c r="BI42" s="154"/>
      <c r="BK42" s="164"/>
      <c r="BL42" s="144"/>
      <c r="BM42" s="194"/>
      <c r="BN42" s="194"/>
      <c r="BO42" s="194"/>
      <c r="BP42" s="176"/>
      <c r="BQ42" s="189"/>
      <c r="BR42" s="176"/>
      <c r="BS42" s="176"/>
      <c r="BT42" s="176"/>
      <c r="BU42" s="176"/>
      <c r="BV42" s="176"/>
      <c r="BW42" s="176"/>
      <c r="BX42" s="176"/>
      <c r="BY42" s="176"/>
      <c r="BZ42" s="176"/>
    </row>
    <row r="43" spans="4:78" ht="18" customHeight="1" thickTop="1" x14ac:dyDescent="0.2">
      <c r="D43" s="240"/>
      <c r="E43" s="242" t="s">
        <v>99</v>
      </c>
      <c r="F43" s="243" t="s">
        <v>251</v>
      </c>
      <c r="G43" s="244" t="s">
        <v>4</v>
      </c>
      <c r="H43" s="244">
        <v>52.800000000000004</v>
      </c>
      <c r="I43" s="245">
        <f>+$AJ$64</f>
        <v>354.59000000000003</v>
      </c>
      <c r="J43" s="245">
        <f>ROUND(I43*H43,2)</f>
        <v>18722.349999999999</v>
      </c>
      <c r="K43" s="246"/>
      <c r="L43" s="247">
        <f>+J43/$K$120</f>
        <v>9.8368866996350246E-5</v>
      </c>
      <c r="M43" s="379">
        <f t="shared" si="3"/>
        <v>9.8368866996350246E-5</v>
      </c>
      <c r="O43" s="258"/>
      <c r="P43" s="202" t="s">
        <v>62</v>
      </c>
      <c r="Q43" s="250"/>
      <c r="R43" s="168"/>
      <c r="S43" s="168"/>
      <c r="T43" s="251">
        <f>SUM(T40:T42)</f>
        <v>117.6</v>
      </c>
      <c r="U43" s="194"/>
      <c r="V43" s="135"/>
      <c r="W43" s="143"/>
      <c r="X43" s="253" t="s">
        <v>63</v>
      </c>
      <c r="Y43" s="233"/>
      <c r="Z43" s="254" t="s">
        <v>64</v>
      </c>
      <c r="AA43" s="255"/>
      <c r="AB43" s="256">
        <f>+AB34+AB39+AB42</f>
        <v>5849380.9799999995</v>
      </c>
      <c r="AC43" s="194"/>
      <c r="AD43" s="135"/>
      <c r="AE43" s="174"/>
      <c r="AF43" s="202" t="s">
        <v>62</v>
      </c>
      <c r="AG43" s="250"/>
      <c r="AH43" s="168"/>
      <c r="AI43" s="168"/>
      <c r="AJ43" s="251">
        <f>SUM(AJ42:AJ42)</f>
        <v>1238.3399999999999</v>
      </c>
      <c r="AK43" s="194"/>
      <c r="AL43" s="135"/>
      <c r="AM43" s="174"/>
      <c r="AN43" s="191" t="s">
        <v>31</v>
      </c>
      <c r="AO43" s="192" t="s">
        <v>32</v>
      </c>
      <c r="AP43" s="192" t="s">
        <v>33</v>
      </c>
      <c r="AQ43" s="192" t="s">
        <v>1</v>
      </c>
      <c r="AR43" s="192" t="s">
        <v>34</v>
      </c>
      <c r="AS43" s="193" t="s">
        <v>76</v>
      </c>
      <c r="AT43" s="194"/>
      <c r="AU43" s="174"/>
      <c r="AV43" s="143"/>
      <c r="AW43" s="177" t="s">
        <v>428</v>
      </c>
      <c r="AX43" s="150"/>
      <c r="AY43" s="178"/>
      <c r="AZ43" s="149"/>
      <c r="BA43" s="179" t="str">
        <f>$G$104</f>
        <v>Gl</v>
      </c>
      <c r="BB43" s="180">
        <f>$H$104</f>
        <v>1</v>
      </c>
      <c r="BC43" s="135"/>
      <c r="BD43" s="155" t="s">
        <v>435</v>
      </c>
      <c r="BE43" s="169"/>
      <c r="BF43" s="172"/>
      <c r="BG43" s="172"/>
      <c r="BH43" s="173"/>
      <c r="BI43" s="154"/>
      <c r="BJ43" s="175"/>
      <c r="BK43" s="164"/>
      <c r="BL43" s="144"/>
      <c r="BM43" s="194"/>
      <c r="BN43" s="194"/>
      <c r="BO43" s="194"/>
      <c r="BP43" s="176"/>
      <c r="BQ43" s="189"/>
      <c r="BR43" s="176"/>
      <c r="BS43" s="176"/>
      <c r="BT43" s="176"/>
      <c r="BU43" s="176"/>
      <c r="BV43" s="176"/>
      <c r="BW43" s="176"/>
      <c r="BX43" s="176"/>
      <c r="BY43" s="176"/>
      <c r="BZ43" s="176"/>
    </row>
    <row r="44" spans="4:78" ht="18" customHeight="1" thickBot="1" x14ac:dyDescent="0.25">
      <c r="D44" s="240"/>
      <c r="E44" s="242" t="s">
        <v>275</v>
      </c>
      <c r="F44" s="243" t="s">
        <v>252</v>
      </c>
      <c r="G44" s="244" t="s">
        <v>4</v>
      </c>
      <c r="H44" s="244">
        <v>52.800000000000004</v>
      </c>
      <c r="I44" s="245">
        <f>+$AJ$84</f>
        <v>354.59000000000003</v>
      </c>
      <c r="J44" s="245">
        <f>ROUND(I44*H44,2)</f>
        <v>18722.349999999999</v>
      </c>
      <c r="K44" s="246"/>
      <c r="L44" s="247">
        <f>+J44/$K$120</f>
        <v>9.8368866996350246E-5</v>
      </c>
      <c r="M44" s="379">
        <f t="shared" si="3"/>
        <v>9.8368866996350246E-5</v>
      </c>
      <c r="O44" s="258"/>
      <c r="P44" s="253" t="s">
        <v>63</v>
      </c>
      <c r="Q44" s="233"/>
      <c r="R44" s="254" t="s">
        <v>64</v>
      </c>
      <c r="S44" s="255"/>
      <c r="T44" s="256">
        <f>+T32+T37+T43</f>
        <v>18883.41</v>
      </c>
      <c r="U44" s="194"/>
      <c r="V44" s="135"/>
      <c r="W44" s="143"/>
      <c r="X44" s="152"/>
      <c r="Y44" s="148"/>
      <c r="Z44" s="206"/>
      <c r="AA44" s="194"/>
      <c r="AB44" s="144"/>
      <c r="AC44" s="194"/>
      <c r="AD44" s="135"/>
      <c r="AE44" s="174"/>
      <c r="AF44" s="253" t="s">
        <v>63</v>
      </c>
      <c r="AG44" s="233"/>
      <c r="AH44" s="254" t="s">
        <v>64</v>
      </c>
      <c r="AI44" s="255"/>
      <c r="AJ44" s="256">
        <f>+AJ35+AJ40+AJ43</f>
        <v>39344.079999999994</v>
      </c>
      <c r="AK44" s="194"/>
      <c r="AL44" s="135"/>
      <c r="AM44" s="174"/>
      <c r="AN44" s="197" t="s">
        <v>37</v>
      </c>
      <c r="AO44" s="198"/>
      <c r="AP44" s="199"/>
      <c r="AQ44" s="199"/>
      <c r="AR44" s="200"/>
      <c r="AS44" s="201"/>
      <c r="AT44" s="153"/>
      <c r="AU44" s="174"/>
      <c r="AV44" s="143"/>
      <c r="AW44" s="183"/>
      <c r="AX44" s="184"/>
      <c r="AY44" s="185"/>
      <c r="AZ44" s="185"/>
      <c r="BA44" s="186"/>
      <c r="BC44" s="135"/>
      <c r="BD44" s="177" t="s">
        <v>438</v>
      </c>
      <c r="BE44" s="150"/>
      <c r="BF44" s="178"/>
      <c r="BG44" s="149"/>
      <c r="BH44" s="179" t="str">
        <f>$G$114</f>
        <v>UN</v>
      </c>
      <c r="BI44" s="180">
        <f>$H$114</f>
        <v>1</v>
      </c>
      <c r="BJ44" s="181"/>
      <c r="BK44" s="164"/>
      <c r="BL44" s="144"/>
      <c r="BM44" s="194"/>
      <c r="BN44" s="194"/>
      <c r="BO44" s="194"/>
      <c r="BP44" s="176"/>
      <c r="BQ44" s="189"/>
      <c r="BR44" s="176"/>
      <c r="BS44" s="176"/>
      <c r="BT44" s="176"/>
      <c r="BU44" s="176"/>
      <c r="BV44" s="176"/>
      <c r="BW44" s="176"/>
      <c r="BX44" s="176"/>
      <c r="BY44" s="176"/>
      <c r="BZ44" s="176"/>
    </row>
    <row r="45" spans="4:78" ht="18" customHeight="1" thickTop="1" thickBot="1" x14ac:dyDescent="0.25">
      <c r="D45" s="240"/>
      <c r="E45" s="395">
        <v>6</v>
      </c>
      <c r="F45" s="396" t="s">
        <v>142</v>
      </c>
      <c r="G45" s="397"/>
      <c r="H45" s="398"/>
      <c r="I45" s="398"/>
      <c r="J45" s="398"/>
      <c r="K45" s="399">
        <f>SUM(J46:J47)</f>
        <v>1603981.5</v>
      </c>
      <c r="L45" s="400">
        <f>+K45/$K$120</f>
        <v>8.4274593113634975E-3</v>
      </c>
      <c r="M45" s="379"/>
      <c r="O45" s="258"/>
      <c r="P45" s="152"/>
      <c r="Q45" s="148"/>
      <c r="R45" s="206"/>
      <c r="S45" s="194"/>
      <c r="T45" s="144"/>
      <c r="U45" s="194"/>
      <c r="V45" s="135"/>
      <c r="W45" s="143"/>
      <c r="X45" s="155" t="s">
        <v>354</v>
      </c>
      <c r="Y45" s="169"/>
      <c r="Z45" s="172"/>
      <c r="AA45" s="172"/>
      <c r="AB45" s="173"/>
      <c r="AC45" s="154"/>
      <c r="AD45" s="135"/>
      <c r="AE45" s="174"/>
      <c r="AF45" s="152"/>
      <c r="AG45" s="148"/>
      <c r="AH45" s="206"/>
      <c r="AI45" s="194"/>
      <c r="AJ45" s="144"/>
      <c r="AK45" s="194"/>
      <c r="AL45" s="135"/>
      <c r="AM45" s="174"/>
      <c r="AN45" s="216" t="s">
        <v>249</v>
      </c>
      <c r="AO45" s="213" t="s">
        <v>52</v>
      </c>
      <c r="AP45" s="214">
        <v>1.03</v>
      </c>
      <c r="AQ45" s="214">
        <v>17812.69125</v>
      </c>
      <c r="AR45" s="215">
        <f>+ROUND(AP45*AQ45,2)</f>
        <v>18347.07</v>
      </c>
      <c r="AS45" s="201"/>
      <c r="AT45" s="194"/>
      <c r="AU45" s="174"/>
      <c r="AV45" s="143"/>
      <c r="AW45" s="191" t="s">
        <v>31</v>
      </c>
      <c r="AX45" s="192" t="s">
        <v>32</v>
      </c>
      <c r="AY45" s="192" t="s">
        <v>33</v>
      </c>
      <c r="AZ45" s="192" t="s">
        <v>1</v>
      </c>
      <c r="BA45" s="192" t="s">
        <v>34</v>
      </c>
      <c r="BB45" s="193" t="s">
        <v>76</v>
      </c>
      <c r="BC45" s="135"/>
      <c r="BD45" s="183"/>
      <c r="BE45" s="184"/>
      <c r="BF45" s="185"/>
      <c r="BG45" s="185"/>
      <c r="BH45" s="186"/>
      <c r="BJ45" s="181"/>
      <c r="BK45" s="164"/>
      <c r="BL45" s="144"/>
      <c r="BM45" s="194"/>
      <c r="BN45" s="194"/>
      <c r="BO45" s="194"/>
      <c r="BP45" s="176"/>
      <c r="BQ45" s="189"/>
      <c r="BR45" s="176"/>
      <c r="BS45" s="176"/>
      <c r="BT45" s="176"/>
      <c r="BU45" s="176"/>
      <c r="BV45" s="176"/>
      <c r="BW45" s="176"/>
      <c r="BX45" s="176"/>
      <c r="BY45" s="176"/>
      <c r="BZ45" s="176"/>
    </row>
    <row r="46" spans="4:78" ht="18" customHeight="1" thickTop="1" x14ac:dyDescent="0.2">
      <c r="D46" s="240"/>
      <c r="E46" s="242" t="s">
        <v>9</v>
      </c>
      <c r="F46" s="243" t="s">
        <v>277</v>
      </c>
      <c r="G46" s="244" t="s">
        <v>6</v>
      </c>
      <c r="H46" s="244">
        <v>315</v>
      </c>
      <c r="I46" s="245">
        <f>+$AJ$102</f>
        <v>4123.78</v>
      </c>
      <c r="J46" s="245">
        <f>ROUND(I46*H46,2)</f>
        <v>1298990.7</v>
      </c>
      <c r="K46" s="246"/>
      <c r="L46" s="247">
        <f>+J46/$K$120</f>
        <v>6.8250109306682068E-3</v>
      </c>
      <c r="M46" s="379">
        <f t="shared" si="3"/>
        <v>6.8250109306682068E-3</v>
      </c>
      <c r="O46" s="258"/>
      <c r="P46" s="155" t="s">
        <v>344</v>
      </c>
      <c r="Q46" s="169"/>
      <c r="R46" s="172"/>
      <c r="S46" s="172"/>
      <c r="T46" s="173"/>
      <c r="U46" s="154"/>
      <c r="V46" s="135"/>
      <c r="W46" s="143"/>
      <c r="X46" s="177" t="s">
        <v>357</v>
      </c>
      <c r="Y46" s="150"/>
      <c r="Z46" s="178"/>
      <c r="AA46" s="149"/>
      <c r="AB46" s="179" t="str">
        <f>$G$30</f>
        <v>ml</v>
      </c>
      <c r="AC46" s="180">
        <f>$H$30</f>
        <v>98.13</v>
      </c>
      <c r="AD46" s="163"/>
      <c r="AE46" s="174"/>
      <c r="AF46" s="155" t="s">
        <v>367</v>
      </c>
      <c r="AG46" s="169"/>
      <c r="AH46" s="172"/>
      <c r="AI46" s="172"/>
      <c r="AJ46" s="173"/>
      <c r="AK46" s="154"/>
      <c r="AL46" s="135"/>
      <c r="AM46" s="174"/>
      <c r="AN46" s="224" t="s">
        <v>50</v>
      </c>
      <c r="AO46" s="274" t="s">
        <v>28</v>
      </c>
      <c r="AP46" s="275">
        <v>0.03</v>
      </c>
      <c r="AQ46" s="194">
        <v>18347.07</v>
      </c>
      <c r="AR46" s="215">
        <f>+ROUND(AP46*AQ46,2)</f>
        <v>550.41</v>
      </c>
      <c r="AS46" s="201"/>
      <c r="AT46" s="194"/>
      <c r="AU46" s="174"/>
      <c r="AV46" s="174"/>
      <c r="AW46" s="197" t="s">
        <v>37</v>
      </c>
      <c r="AX46" s="198"/>
      <c r="AY46" s="199"/>
      <c r="AZ46" s="199"/>
      <c r="BA46" s="200"/>
      <c r="BB46" s="201"/>
      <c r="BC46" s="135"/>
      <c r="BD46" s="191" t="s">
        <v>31</v>
      </c>
      <c r="BE46" s="192" t="s">
        <v>32</v>
      </c>
      <c r="BF46" s="192" t="s">
        <v>33</v>
      </c>
      <c r="BG46" s="192" t="s">
        <v>1</v>
      </c>
      <c r="BH46" s="192" t="s">
        <v>34</v>
      </c>
      <c r="BI46" s="193" t="s">
        <v>76</v>
      </c>
      <c r="BJ46" s="194"/>
      <c r="BK46" s="164"/>
      <c r="BL46" s="144"/>
      <c r="BM46" s="194"/>
      <c r="BN46" s="194"/>
      <c r="BO46" s="194"/>
      <c r="BP46" s="176"/>
      <c r="BQ46" s="189"/>
      <c r="BR46" s="176"/>
      <c r="BS46" s="176"/>
      <c r="BT46" s="176"/>
      <c r="BU46" s="176"/>
      <c r="BV46" s="176"/>
      <c r="BW46" s="176"/>
      <c r="BX46" s="176"/>
      <c r="BY46" s="176"/>
      <c r="BZ46" s="176"/>
    </row>
    <row r="47" spans="4:78" ht="18" customHeight="1" thickBot="1" x14ac:dyDescent="0.25">
      <c r="D47" s="240"/>
      <c r="E47" s="242" t="s">
        <v>100</v>
      </c>
      <c r="F47" s="243" t="s">
        <v>278</v>
      </c>
      <c r="G47" s="244" t="s">
        <v>6</v>
      </c>
      <c r="H47" s="244">
        <v>120</v>
      </c>
      <c r="I47" s="245">
        <f>+$AJ$121</f>
        <v>2541.5900000000006</v>
      </c>
      <c r="J47" s="245">
        <f>ROUND(I47*H47,2)</f>
        <v>304990.8</v>
      </c>
      <c r="K47" s="246"/>
      <c r="L47" s="247">
        <f>+J47/$K$120</f>
        <v>1.6024483806952898E-3</v>
      </c>
      <c r="M47" s="379">
        <f t="shared" si="3"/>
        <v>1.6024483806952898E-3</v>
      </c>
      <c r="O47" s="258"/>
      <c r="P47" s="177" t="s">
        <v>345</v>
      </c>
      <c r="Q47" s="150"/>
      <c r="R47" s="178"/>
      <c r="S47" s="149"/>
      <c r="T47" s="179" t="str">
        <f>$G$16</f>
        <v>m2</v>
      </c>
      <c r="U47" s="180">
        <f>$H$16</f>
        <v>289.58</v>
      </c>
      <c r="V47" s="163"/>
      <c r="W47" s="143"/>
      <c r="X47" s="183"/>
      <c r="Y47" s="184"/>
      <c r="Z47" s="185"/>
      <c r="AA47" s="185"/>
      <c r="AB47" s="186"/>
      <c r="AD47" s="145"/>
      <c r="AE47" s="174"/>
      <c r="AF47" s="177" t="s">
        <v>370</v>
      </c>
      <c r="AG47" s="150"/>
      <c r="AH47" s="178"/>
      <c r="AI47" s="149"/>
      <c r="AJ47" s="179" t="str">
        <f>$G$43</f>
        <v>ml</v>
      </c>
      <c r="AK47" s="180">
        <f>$H$43</f>
        <v>52.800000000000004</v>
      </c>
      <c r="AL47" s="135"/>
      <c r="AM47" s="174"/>
      <c r="AN47" s="232" t="s">
        <v>51</v>
      </c>
      <c r="AO47" s="233"/>
      <c r="AP47" s="234"/>
      <c r="AQ47" s="234"/>
      <c r="AR47" s="235">
        <f>SUM(AR45:AR46)</f>
        <v>18897.48</v>
      </c>
      <c r="AS47" s="235"/>
      <c r="AT47" s="194"/>
      <c r="AU47" s="174"/>
      <c r="AV47" s="143"/>
      <c r="AW47" s="216" t="s">
        <v>239</v>
      </c>
      <c r="AX47" s="213" t="s">
        <v>49</v>
      </c>
      <c r="AY47" s="214">
        <v>1</v>
      </c>
      <c r="AZ47" s="214">
        <v>20891285</v>
      </c>
      <c r="BA47" s="215">
        <f>+ROUND(AY47*AZ47,2)</f>
        <v>20891285</v>
      </c>
      <c r="BB47" s="201"/>
      <c r="BC47" s="135"/>
      <c r="BD47" s="197" t="s">
        <v>37</v>
      </c>
      <c r="BE47" s="198"/>
      <c r="BF47" s="199"/>
      <c r="BG47" s="199"/>
      <c r="BH47" s="200"/>
      <c r="BI47" s="201"/>
      <c r="BJ47" s="194"/>
      <c r="BK47" s="164"/>
      <c r="BL47" s="144"/>
      <c r="BM47" s="194"/>
      <c r="BN47" s="194"/>
      <c r="BO47" s="194"/>
      <c r="BP47" s="176"/>
      <c r="BQ47" s="147"/>
      <c r="BR47" s="176"/>
      <c r="BS47" s="176"/>
      <c r="BT47" s="176"/>
      <c r="BU47" s="176"/>
      <c r="BV47" s="176"/>
      <c r="BW47" s="176"/>
      <c r="BX47" s="176"/>
      <c r="BY47" s="176"/>
      <c r="BZ47" s="176"/>
    </row>
    <row r="48" spans="4:78" ht="18" customHeight="1" thickTop="1" thickBot="1" x14ac:dyDescent="0.25">
      <c r="D48" s="240"/>
      <c r="E48" s="395">
        <v>7</v>
      </c>
      <c r="F48" s="396" t="s">
        <v>131</v>
      </c>
      <c r="G48" s="397"/>
      <c r="H48" s="398"/>
      <c r="I48" s="398"/>
      <c r="J48" s="398"/>
      <c r="K48" s="399">
        <f>SUM(J49:J51)</f>
        <v>1514268.28</v>
      </c>
      <c r="L48" s="400">
        <f>+K48/$K$120</f>
        <v>7.9560981945168245E-3</v>
      </c>
      <c r="M48" s="379"/>
      <c r="P48" s="183"/>
      <c r="Q48" s="184"/>
      <c r="R48" s="185"/>
      <c r="S48" s="185"/>
      <c r="T48" s="186"/>
      <c r="V48" s="145"/>
      <c r="W48" s="143"/>
      <c r="X48" s="191" t="s">
        <v>31</v>
      </c>
      <c r="Y48" s="192" t="s">
        <v>32</v>
      </c>
      <c r="Z48" s="192" t="s">
        <v>33</v>
      </c>
      <c r="AA48" s="192" t="s">
        <v>1</v>
      </c>
      <c r="AB48" s="192" t="s">
        <v>34</v>
      </c>
      <c r="AC48" s="193" t="s">
        <v>76</v>
      </c>
      <c r="AD48" s="153"/>
      <c r="AE48" s="174"/>
      <c r="AF48" s="183"/>
      <c r="AG48" s="184"/>
      <c r="AH48" s="185"/>
      <c r="AI48" s="185"/>
      <c r="AJ48" s="186"/>
      <c r="AL48" s="135"/>
      <c r="AM48" s="174"/>
      <c r="AN48" s="197" t="s">
        <v>53</v>
      </c>
      <c r="AO48" s="198"/>
      <c r="AP48" s="199"/>
      <c r="AQ48" s="199"/>
      <c r="AR48" s="200"/>
      <c r="AS48" s="241">
        <f>+AR45*AS41</f>
        <v>2669498.6850000001</v>
      </c>
      <c r="AU48" s="174"/>
      <c r="AV48" s="143"/>
      <c r="AW48" s="216" t="s">
        <v>65</v>
      </c>
      <c r="AX48" s="213" t="s">
        <v>28</v>
      </c>
      <c r="AY48" s="214">
        <v>1</v>
      </c>
      <c r="AZ48" s="214">
        <v>146238.995</v>
      </c>
      <c r="BA48" s="215">
        <f>+ROUND(AY48*AZ48,2)</f>
        <v>146239</v>
      </c>
      <c r="BB48" s="201"/>
      <c r="BC48" s="135"/>
      <c r="BD48" s="216" t="s">
        <v>438</v>
      </c>
      <c r="BE48" s="213" t="s">
        <v>35</v>
      </c>
      <c r="BF48" s="214">
        <v>1</v>
      </c>
      <c r="BG48" s="214">
        <v>3712826.6050000004</v>
      </c>
      <c r="BH48" s="217">
        <f>ROUND((BG48*BF48),2)</f>
        <v>3712826.61</v>
      </c>
      <c r="BI48" s="201"/>
      <c r="BJ48" s="241">
        <f>+BH48*BI44</f>
        <v>3712826.61</v>
      </c>
      <c r="BK48" s="164"/>
      <c r="BL48" s="144"/>
      <c r="BM48" s="194"/>
      <c r="BN48" s="194"/>
      <c r="BO48" s="194"/>
      <c r="BP48" s="176"/>
      <c r="BQ48" s="147"/>
      <c r="BR48" s="176"/>
      <c r="BS48" s="176"/>
      <c r="BT48" s="176"/>
      <c r="BU48" s="176"/>
      <c r="BV48" s="176"/>
      <c r="BW48" s="176"/>
      <c r="BX48" s="176"/>
      <c r="BY48" s="176"/>
      <c r="BZ48" s="176"/>
    </row>
    <row r="49" spans="4:78" ht="18" customHeight="1" thickTop="1" x14ac:dyDescent="0.2">
      <c r="D49" s="240"/>
      <c r="E49" s="242" t="s">
        <v>26</v>
      </c>
      <c r="F49" s="243" t="s">
        <v>133</v>
      </c>
      <c r="G49" s="244" t="s">
        <v>6</v>
      </c>
      <c r="H49" s="244">
        <v>232.28800000000001</v>
      </c>
      <c r="I49" s="245">
        <f>+$AJ$140</f>
        <v>3730.8900000000003</v>
      </c>
      <c r="J49" s="245">
        <f>ROUND(I49*H49,2)</f>
        <v>866640.98</v>
      </c>
      <c r="K49" s="246"/>
      <c r="L49" s="247">
        <f>+J49/$K$120</f>
        <v>4.5534076275257455E-3</v>
      </c>
      <c r="M49" s="379">
        <f t="shared" si="3"/>
        <v>4.5534076275257455E-3</v>
      </c>
      <c r="O49" s="258"/>
      <c r="P49" s="191" t="s">
        <v>31</v>
      </c>
      <c r="Q49" s="192" t="s">
        <v>32</v>
      </c>
      <c r="R49" s="192" t="s">
        <v>33</v>
      </c>
      <c r="S49" s="192" t="s">
        <v>1</v>
      </c>
      <c r="T49" s="192" t="s">
        <v>34</v>
      </c>
      <c r="U49" s="193" t="s">
        <v>76</v>
      </c>
      <c r="V49" s="153"/>
      <c r="W49" s="143"/>
      <c r="X49" s="197" t="s">
        <v>37</v>
      </c>
      <c r="Y49" s="198"/>
      <c r="Z49" s="199"/>
      <c r="AA49" s="199"/>
      <c r="AB49" s="200"/>
      <c r="AC49" s="201"/>
      <c r="AD49" s="153"/>
      <c r="AE49" s="174"/>
      <c r="AF49" s="191" t="s">
        <v>31</v>
      </c>
      <c r="AG49" s="192" t="s">
        <v>32</v>
      </c>
      <c r="AH49" s="192" t="s">
        <v>33</v>
      </c>
      <c r="AI49" s="192" t="s">
        <v>1</v>
      </c>
      <c r="AJ49" s="192" t="s">
        <v>34</v>
      </c>
      <c r="AK49" s="193" t="s">
        <v>76</v>
      </c>
      <c r="AL49" s="135"/>
      <c r="AM49" s="174"/>
      <c r="AN49" s="224" t="s">
        <v>54</v>
      </c>
      <c r="AO49" s="225" t="s">
        <v>55</v>
      </c>
      <c r="AP49" s="226"/>
      <c r="AQ49" s="226">
        <v>1600.8</v>
      </c>
      <c r="AR49" s="215">
        <f>+ROUND(AP49*AQ49,2)</f>
        <v>0</v>
      </c>
      <c r="AS49" s="194"/>
      <c r="AT49" s="149"/>
      <c r="AU49" s="174"/>
      <c r="AV49" s="143"/>
      <c r="AW49" s="224" t="s">
        <v>50</v>
      </c>
      <c r="AX49" s="225" t="s">
        <v>28</v>
      </c>
      <c r="AY49" s="226">
        <v>0.03</v>
      </c>
      <c r="AZ49" s="219">
        <v>21037524</v>
      </c>
      <c r="BA49" s="215">
        <f>+ROUND(AY49*AZ49,2)</f>
        <v>631125.72</v>
      </c>
      <c r="BB49" s="201"/>
      <c r="BC49" s="135"/>
      <c r="BD49" s="216" t="s">
        <v>330</v>
      </c>
      <c r="BE49" s="213" t="s">
        <v>28</v>
      </c>
      <c r="BF49" s="214">
        <v>1</v>
      </c>
      <c r="BG49" s="214">
        <v>85395.012029999998</v>
      </c>
      <c r="BH49" s="217">
        <f>ROUND((BG49*BF49),2)</f>
        <v>85395.01</v>
      </c>
      <c r="BI49" s="201"/>
      <c r="BJ49" s="241"/>
      <c r="BK49" s="164"/>
      <c r="BL49" s="144"/>
      <c r="BM49" s="194"/>
      <c r="BN49" s="194"/>
      <c r="BO49" s="194"/>
      <c r="BP49" s="176"/>
      <c r="BQ49" s="147"/>
      <c r="BR49" s="176"/>
      <c r="BS49" s="176"/>
      <c r="BT49" s="176"/>
      <c r="BU49" s="176"/>
      <c r="BV49" s="176"/>
      <c r="BW49" s="176"/>
      <c r="BX49" s="176"/>
      <c r="BY49" s="176"/>
      <c r="BZ49" s="176"/>
    </row>
    <row r="50" spans="4:78" ht="18" customHeight="1" x14ac:dyDescent="0.2">
      <c r="D50" s="240"/>
      <c r="E50" s="242" t="s">
        <v>107</v>
      </c>
      <c r="F50" s="243" t="s">
        <v>132</v>
      </c>
      <c r="G50" s="244" t="s">
        <v>6</v>
      </c>
      <c r="H50" s="244">
        <v>190.4</v>
      </c>
      <c r="I50" s="245">
        <f>+$AJ$159</f>
        <v>3369.66</v>
      </c>
      <c r="J50" s="245">
        <f>ROUND(I50*H50,2)</f>
        <v>641583.26</v>
      </c>
      <c r="K50" s="246"/>
      <c r="L50" s="247">
        <f>+J50/$K$120</f>
        <v>3.3709346513672057E-3</v>
      </c>
      <c r="M50" s="379">
        <f t="shared" si="3"/>
        <v>3.3709346513672057E-3</v>
      </c>
      <c r="O50" s="258"/>
      <c r="P50" s="197" t="s">
        <v>37</v>
      </c>
      <c r="Q50" s="198"/>
      <c r="R50" s="199"/>
      <c r="S50" s="199"/>
      <c r="T50" s="200"/>
      <c r="U50" s="201"/>
      <c r="V50" s="153"/>
      <c r="W50" s="143"/>
      <c r="X50" s="216" t="s">
        <v>357</v>
      </c>
      <c r="Y50" s="213" t="s">
        <v>68</v>
      </c>
      <c r="Z50" s="214">
        <v>1.1000000000000001</v>
      </c>
      <c r="AA50" s="214">
        <v>14344.290476190476</v>
      </c>
      <c r="AB50" s="215">
        <f>+ROUND(Z50*AA50,2)</f>
        <v>15778.72</v>
      </c>
      <c r="AC50" s="201"/>
      <c r="AD50" s="176"/>
      <c r="AE50" s="174"/>
      <c r="AF50" s="197" t="s">
        <v>37</v>
      </c>
      <c r="AG50" s="198"/>
      <c r="AH50" s="199"/>
      <c r="AI50" s="199"/>
      <c r="AJ50" s="200"/>
      <c r="AK50" s="201"/>
      <c r="AL50" s="135"/>
      <c r="AM50" s="174"/>
      <c r="AN50" s="224" t="s">
        <v>56</v>
      </c>
      <c r="AO50" s="225" t="s">
        <v>55</v>
      </c>
      <c r="AP50" s="226"/>
      <c r="AQ50" s="226">
        <v>1354.6999999999998</v>
      </c>
      <c r="AR50" s="215">
        <f>+ROUND(AP50*AQ50,2)</f>
        <v>0</v>
      </c>
      <c r="AS50" s="194"/>
      <c r="AU50" s="174"/>
      <c r="AV50" s="143"/>
      <c r="AW50" s="232" t="s">
        <v>51</v>
      </c>
      <c r="AX50" s="233"/>
      <c r="AY50" s="234"/>
      <c r="AZ50" s="234"/>
      <c r="BA50" s="235">
        <f>SUM(BA47:BA49)</f>
        <v>21668649.719999999</v>
      </c>
      <c r="BB50" s="235"/>
      <c r="BC50" s="135"/>
      <c r="BD50" s="224" t="s">
        <v>50</v>
      </c>
      <c r="BE50" s="225" t="s">
        <v>28</v>
      </c>
      <c r="BF50" s="226">
        <v>0.03</v>
      </c>
      <c r="BG50" s="226">
        <v>1139466.4859999998</v>
      </c>
      <c r="BH50" s="217">
        <f>ROUND((BG50*BF50),2)</f>
        <v>34183.99</v>
      </c>
      <c r="BI50" s="201"/>
      <c r="BJ50" s="194"/>
      <c r="BK50" s="164"/>
      <c r="BL50" s="144"/>
      <c r="BM50" s="194"/>
      <c r="BN50" s="194"/>
      <c r="BO50" s="194"/>
      <c r="BP50" s="176"/>
      <c r="BQ50" s="147"/>
      <c r="BR50" s="176"/>
      <c r="BS50" s="176"/>
      <c r="BT50" s="176"/>
      <c r="BU50" s="176"/>
      <c r="BV50" s="176"/>
      <c r="BW50" s="176"/>
      <c r="BX50" s="176"/>
      <c r="BY50" s="176"/>
      <c r="BZ50" s="176"/>
    </row>
    <row r="51" spans="4:78" ht="18" customHeight="1" x14ac:dyDescent="0.2">
      <c r="D51" s="240"/>
      <c r="E51" s="242" t="s">
        <v>202</v>
      </c>
      <c r="F51" s="271" t="s">
        <v>201</v>
      </c>
      <c r="G51" s="244" t="s">
        <v>6</v>
      </c>
      <c r="H51" s="244">
        <v>1.62</v>
      </c>
      <c r="I51" s="245">
        <f>+$AJ$140</f>
        <v>3730.8900000000003</v>
      </c>
      <c r="J51" s="245">
        <f>ROUND(I51*H51,2)</f>
        <v>6044.04</v>
      </c>
      <c r="K51" s="246"/>
      <c r="L51" s="247">
        <f>+J51/$K$120</f>
        <v>3.1755915623873111E-5</v>
      </c>
      <c r="M51" s="379">
        <f t="shared" si="3"/>
        <v>3.1755915623873111E-5</v>
      </c>
      <c r="O51" s="258"/>
      <c r="P51" s="216"/>
      <c r="Q51" s="213"/>
      <c r="R51" s="214"/>
      <c r="S51" s="214"/>
      <c r="T51" s="215">
        <f>+ROUND(R51*S51,2)</f>
        <v>0</v>
      </c>
      <c r="U51" s="201"/>
      <c r="V51" s="176"/>
      <c r="W51" s="143"/>
      <c r="X51" s="216" t="s">
        <v>274</v>
      </c>
      <c r="Y51" s="213" t="s">
        <v>28</v>
      </c>
      <c r="Z51" s="214">
        <v>1</v>
      </c>
      <c r="AA51" s="214">
        <v>473.36159999999995</v>
      </c>
      <c r="AB51" s="215">
        <f>+ROUND(Z51*AA51,2)</f>
        <v>473.36</v>
      </c>
      <c r="AC51" s="201"/>
      <c r="AD51" s="176"/>
      <c r="AE51" s="174"/>
      <c r="AF51" s="216" t="s">
        <v>223</v>
      </c>
      <c r="AG51" s="213" t="s">
        <v>39</v>
      </c>
      <c r="AH51" s="214">
        <v>0.5</v>
      </c>
      <c r="AI51" s="132">
        <v>26.528938000000004</v>
      </c>
      <c r="AJ51" s="215">
        <f>+ROUND(AH51*AI51,2)</f>
        <v>13.26</v>
      </c>
      <c r="AK51" s="201"/>
      <c r="AL51" s="135"/>
      <c r="AM51" s="174"/>
      <c r="AN51" s="248"/>
      <c r="AO51" s="249"/>
      <c r="AP51" s="219"/>
      <c r="AQ51" s="219"/>
      <c r="AR51" s="215"/>
      <c r="AS51" s="194"/>
      <c r="AU51" s="174"/>
      <c r="AV51" s="143"/>
      <c r="AW51" s="197" t="s">
        <v>53</v>
      </c>
      <c r="AX51" s="198"/>
      <c r="AY51" s="199"/>
      <c r="AZ51" s="199"/>
      <c r="BA51" s="200"/>
      <c r="BB51" s="153"/>
      <c r="BC51" s="135"/>
      <c r="BD51" s="232" t="s">
        <v>51</v>
      </c>
      <c r="BE51" s="233"/>
      <c r="BF51" s="234"/>
      <c r="BG51" s="234"/>
      <c r="BH51" s="235">
        <f>SUM(BH48:BH50)</f>
        <v>3832405.61</v>
      </c>
      <c r="BI51" s="235"/>
      <c r="BJ51" s="194"/>
      <c r="BK51" s="164"/>
      <c r="BL51" s="144"/>
      <c r="BM51" s="194"/>
      <c r="BN51" s="194"/>
      <c r="BO51" s="194"/>
      <c r="BP51" s="176"/>
      <c r="BQ51" s="147"/>
      <c r="BR51" s="176"/>
      <c r="BS51" s="176"/>
      <c r="BT51" s="176"/>
      <c r="BU51" s="176"/>
      <c r="BV51" s="176"/>
      <c r="BW51" s="176"/>
      <c r="BX51" s="176"/>
      <c r="BY51" s="176"/>
      <c r="BZ51" s="176"/>
    </row>
    <row r="52" spans="4:78" ht="18" customHeight="1" x14ac:dyDescent="0.2">
      <c r="D52" s="240"/>
      <c r="E52" s="395">
        <v>8</v>
      </c>
      <c r="F52" s="396" t="s">
        <v>143</v>
      </c>
      <c r="G52" s="397"/>
      <c r="H52" s="398"/>
      <c r="I52" s="398"/>
      <c r="J52" s="398"/>
      <c r="K52" s="399">
        <f>SUM(J53:J53)</f>
        <v>21458.63</v>
      </c>
      <c r="L52" s="400">
        <f>+K52/$K$120</f>
        <v>1.1274552181718062E-4</v>
      </c>
      <c r="M52" s="379"/>
      <c r="O52" s="258"/>
      <c r="P52" s="224" t="s">
        <v>50</v>
      </c>
      <c r="Q52" s="225" t="s">
        <v>28</v>
      </c>
      <c r="R52" s="226">
        <v>0.03</v>
      </c>
      <c r="S52" s="219"/>
      <c r="T52" s="223">
        <f>+ROUND(R52*S52,2)</f>
        <v>0</v>
      </c>
      <c r="U52" s="201"/>
      <c r="V52" s="153"/>
      <c r="W52" s="143"/>
      <c r="X52" s="224" t="s">
        <v>50</v>
      </c>
      <c r="Y52" s="225" t="s">
        <v>28</v>
      </c>
      <c r="Z52" s="226">
        <v>0.03</v>
      </c>
      <c r="AA52" s="219">
        <v>16252.08</v>
      </c>
      <c r="AB52" s="223">
        <f>+ROUND(Z52*AA52,2)</f>
        <v>487.56</v>
      </c>
      <c r="AC52" s="201"/>
      <c r="AD52" s="153"/>
      <c r="AE52" s="174"/>
      <c r="AF52" s="216" t="s">
        <v>45</v>
      </c>
      <c r="AG52" s="213" t="s">
        <v>15</v>
      </c>
      <c r="AH52" s="214">
        <v>6.0000000000000001E-3</v>
      </c>
      <c r="AI52" s="132">
        <v>2066.1157024793388</v>
      </c>
      <c r="AJ52" s="215">
        <f t="shared" ref="AJ52:AJ54" si="12">+ROUND(AH52*AI52,2)</f>
        <v>12.4</v>
      </c>
      <c r="AK52" s="201"/>
      <c r="AL52" s="135"/>
      <c r="AM52" s="174"/>
      <c r="AN52" s="232" t="s">
        <v>57</v>
      </c>
      <c r="AO52" s="233"/>
      <c r="AP52" s="234"/>
      <c r="AQ52" s="234"/>
      <c r="AR52" s="235">
        <f>SUM(AR49:AR51)</f>
        <v>0</v>
      </c>
      <c r="AU52" s="174"/>
      <c r="AV52" s="143"/>
      <c r="AW52" s="224" t="s">
        <v>54</v>
      </c>
      <c r="AX52" s="225" t="s">
        <v>55</v>
      </c>
      <c r="AY52" s="226">
        <v>80</v>
      </c>
      <c r="AZ52" s="226">
        <v>1600.8</v>
      </c>
      <c r="BA52" s="215">
        <f>+ROUND(AY52*AZ52,2)</f>
        <v>128064</v>
      </c>
      <c r="BB52" s="194"/>
      <c r="BC52" s="135"/>
      <c r="BD52" s="197" t="s">
        <v>53</v>
      </c>
      <c r="BE52" s="198"/>
      <c r="BF52" s="199"/>
      <c r="BG52" s="199"/>
      <c r="BH52" s="200"/>
      <c r="BI52" s="153"/>
      <c r="BJ52" s="194"/>
      <c r="BK52" s="164"/>
      <c r="BL52" s="144"/>
      <c r="BM52" s="194"/>
      <c r="BN52" s="194"/>
      <c r="BO52" s="194"/>
      <c r="BP52" s="176"/>
      <c r="BQ52" s="147"/>
      <c r="BR52" s="176"/>
      <c r="BS52" s="176"/>
      <c r="BT52" s="176"/>
      <c r="BU52" s="176"/>
      <c r="BV52" s="176"/>
      <c r="BW52" s="176"/>
      <c r="BX52" s="176"/>
      <c r="BY52" s="176"/>
      <c r="BZ52" s="176"/>
    </row>
    <row r="53" spans="4:78" ht="18" customHeight="1" x14ac:dyDescent="0.2">
      <c r="D53" s="240"/>
      <c r="E53" s="242" t="s">
        <v>10</v>
      </c>
      <c r="F53" s="271" t="s">
        <v>338</v>
      </c>
      <c r="G53" s="244" t="s">
        <v>6</v>
      </c>
      <c r="H53" s="244">
        <v>1.62</v>
      </c>
      <c r="I53" s="245">
        <f>+$AJ$180</f>
        <v>13246.07</v>
      </c>
      <c r="J53" s="245">
        <f>ROUND(I53*H53,2)</f>
        <v>21458.63</v>
      </c>
      <c r="K53" s="246"/>
      <c r="L53" s="247">
        <f>+J53/$K$120</f>
        <v>1.1274552181718062E-4</v>
      </c>
      <c r="M53" s="379">
        <f t="shared" si="3"/>
        <v>1.1274552181718062E-4</v>
      </c>
      <c r="O53" s="258"/>
      <c r="P53" s="232" t="s">
        <v>51</v>
      </c>
      <c r="Q53" s="233"/>
      <c r="R53" s="234"/>
      <c r="S53" s="234"/>
      <c r="T53" s="235">
        <f>SUM(T51:T52)</f>
        <v>0</v>
      </c>
      <c r="U53" s="235"/>
      <c r="V53" s="194"/>
      <c r="W53" s="143"/>
      <c r="X53" s="232" t="s">
        <v>51</v>
      </c>
      <c r="Y53" s="233"/>
      <c r="Z53" s="234"/>
      <c r="AA53" s="234"/>
      <c r="AB53" s="235">
        <f>SUM(AB50:AB52)</f>
        <v>16739.64</v>
      </c>
      <c r="AC53" s="235"/>
      <c r="AD53" s="194"/>
      <c r="AE53" s="174"/>
      <c r="AF53" s="216" t="s">
        <v>205</v>
      </c>
      <c r="AG53" s="213" t="s">
        <v>39</v>
      </c>
      <c r="AH53" s="214">
        <v>0.4662</v>
      </c>
      <c r="AI53" s="132">
        <v>27.236208000000001</v>
      </c>
      <c r="AJ53" s="215">
        <f t="shared" si="12"/>
        <v>12.7</v>
      </c>
      <c r="AK53" s="201"/>
      <c r="AL53" s="135"/>
      <c r="AM53" s="174"/>
      <c r="AN53" s="197" t="s">
        <v>58</v>
      </c>
      <c r="AO53" s="198"/>
      <c r="AP53" s="199"/>
      <c r="AQ53" s="199"/>
      <c r="AR53" s="200"/>
      <c r="AS53" s="153"/>
      <c r="AU53" s="174"/>
      <c r="AV53" s="143"/>
      <c r="AW53" s="224" t="s">
        <v>56</v>
      </c>
      <c r="AX53" s="225" t="s">
        <v>55</v>
      </c>
      <c r="AY53" s="226">
        <v>40</v>
      </c>
      <c r="AZ53" s="226">
        <v>1354.6999999999998</v>
      </c>
      <c r="BA53" s="215">
        <f>+ROUND(AY53*AZ53,2)</f>
        <v>54188</v>
      </c>
      <c r="BB53" s="194"/>
      <c r="BC53" s="135"/>
      <c r="BD53" s="224" t="s">
        <v>54</v>
      </c>
      <c r="BE53" s="225" t="s">
        <v>55</v>
      </c>
      <c r="BF53" s="226">
        <v>440</v>
      </c>
      <c r="BG53" s="226">
        <v>1600.8</v>
      </c>
      <c r="BH53" s="215">
        <f>+ROUND(BF53*BG53,2)</f>
        <v>704352</v>
      </c>
      <c r="BI53" s="194"/>
      <c r="BJ53" s="194"/>
      <c r="BK53" s="164"/>
      <c r="BL53" s="144"/>
      <c r="BM53" s="194"/>
      <c r="BN53" s="194"/>
      <c r="BO53" s="194"/>
      <c r="BP53" s="176"/>
      <c r="BQ53" s="189"/>
      <c r="BR53" s="176"/>
      <c r="BS53" s="176"/>
      <c r="BT53" s="176"/>
      <c r="BU53" s="176"/>
      <c r="BV53" s="176"/>
      <c r="BW53" s="176"/>
      <c r="BX53" s="176"/>
      <c r="BY53" s="176"/>
      <c r="BZ53" s="176"/>
    </row>
    <row r="54" spans="4:78" ht="18" customHeight="1" x14ac:dyDescent="0.2">
      <c r="D54" s="240"/>
      <c r="E54" s="395">
        <v>9</v>
      </c>
      <c r="F54" s="396" t="s">
        <v>136</v>
      </c>
      <c r="G54" s="397"/>
      <c r="H54" s="398"/>
      <c r="I54" s="398"/>
      <c r="J54" s="398"/>
      <c r="K54" s="399">
        <f>SUM(J55:J57)</f>
        <v>821032.65000000014</v>
      </c>
      <c r="L54" s="400">
        <f>+K54/$K$120</f>
        <v>4.3137774663709952E-3</v>
      </c>
      <c r="M54" s="379"/>
      <c r="P54" s="197" t="s">
        <v>53</v>
      </c>
      <c r="Q54" s="198"/>
      <c r="R54" s="199"/>
      <c r="S54" s="199"/>
      <c r="T54" s="200"/>
      <c r="U54" s="153"/>
      <c r="V54" s="194"/>
      <c r="W54" s="143"/>
      <c r="X54" s="197" t="s">
        <v>53</v>
      </c>
      <c r="Y54" s="198"/>
      <c r="Z54" s="199"/>
      <c r="AA54" s="199"/>
      <c r="AB54" s="200"/>
      <c r="AC54" s="241"/>
      <c r="AD54" s="194"/>
      <c r="AE54" s="174"/>
      <c r="AF54" s="224" t="s">
        <v>50</v>
      </c>
      <c r="AG54" s="225" t="s">
        <v>28</v>
      </c>
      <c r="AH54" s="226">
        <v>0.03</v>
      </c>
      <c r="AI54" s="219">
        <v>38.36</v>
      </c>
      <c r="AJ54" s="215">
        <f t="shared" si="12"/>
        <v>1.1499999999999999</v>
      </c>
      <c r="AK54" s="201"/>
      <c r="AL54" s="135"/>
      <c r="AM54" s="174"/>
      <c r="AN54" s="252" t="s">
        <v>59</v>
      </c>
      <c r="AO54" s="213" t="s">
        <v>60</v>
      </c>
      <c r="AP54" s="226">
        <v>60</v>
      </c>
      <c r="AQ54" s="226">
        <v>1.9600688000000004</v>
      </c>
      <c r="AR54" s="215">
        <f>+ROUND(AP54*AQ54,2)</f>
        <v>117.6</v>
      </c>
      <c r="AS54" s="194"/>
      <c r="AU54" s="174"/>
      <c r="AV54" s="143"/>
      <c r="AW54" s="248"/>
      <c r="AX54" s="249"/>
      <c r="AY54" s="219"/>
      <c r="AZ54" s="219"/>
      <c r="BA54" s="215"/>
      <c r="BB54" s="194"/>
      <c r="BC54" s="135"/>
      <c r="BD54" s="224" t="s">
        <v>56</v>
      </c>
      <c r="BE54" s="225" t="s">
        <v>55</v>
      </c>
      <c r="BF54" s="226">
        <v>440</v>
      </c>
      <c r="BG54" s="226">
        <v>1354.6999999999998</v>
      </c>
      <c r="BH54" s="215">
        <f>+ROUND(BF54*BG54,2)</f>
        <v>596068</v>
      </c>
      <c r="BI54" s="194"/>
      <c r="BK54" s="164"/>
      <c r="BL54" s="144"/>
      <c r="BM54" s="194"/>
      <c r="BN54" s="194"/>
      <c r="BO54" s="194"/>
      <c r="BP54" s="176"/>
      <c r="BQ54" s="276"/>
      <c r="BR54" s="176"/>
      <c r="BS54" s="176"/>
      <c r="BT54" s="176"/>
      <c r="BU54" s="176"/>
      <c r="BV54" s="176"/>
      <c r="BW54" s="176"/>
      <c r="BX54" s="176"/>
      <c r="BY54" s="176"/>
      <c r="BZ54" s="176"/>
    </row>
    <row r="55" spans="4:78" ht="18" customHeight="1" x14ac:dyDescent="0.2">
      <c r="D55" s="240"/>
      <c r="E55" s="242" t="s">
        <v>12</v>
      </c>
      <c r="F55" s="243" t="s">
        <v>261</v>
      </c>
      <c r="G55" s="244" t="s">
        <v>6</v>
      </c>
      <c r="H55" s="244">
        <v>92.6</v>
      </c>
      <c r="I55" s="245">
        <f>+$AJ$200</f>
        <v>6661.0099999999993</v>
      </c>
      <c r="J55" s="245">
        <f>ROUND(I55*H55,2)</f>
        <v>616809.53</v>
      </c>
      <c r="K55" s="246"/>
      <c r="L55" s="247">
        <f>+J55/$K$120</f>
        <v>3.2407713037439913E-3</v>
      </c>
      <c r="M55" s="379">
        <f t="shared" si="3"/>
        <v>3.2407713037439913E-3</v>
      </c>
      <c r="O55" s="258"/>
      <c r="P55" s="224" t="s">
        <v>54</v>
      </c>
      <c r="Q55" s="225" t="s">
        <v>55</v>
      </c>
      <c r="R55" s="226">
        <v>0.1</v>
      </c>
      <c r="S55" s="226">
        <v>1600.8</v>
      </c>
      <c r="T55" s="215">
        <f>+ROUND(R55*S55,2)</f>
        <v>160.08000000000001</v>
      </c>
      <c r="U55" s="194"/>
      <c r="V55" s="194"/>
      <c r="W55" s="143"/>
      <c r="X55" s="224" t="s">
        <v>54</v>
      </c>
      <c r="Y55" s="225" t="s">
        <v>55</v>
      </c>
      <c r="Z55" s="226">
        <v>0.5</v>
      </c>
      <c r="AA55" s="226">
        <v>1600.8</v>
      </c>
      <c r="AB55" s="215">
        <f>+ROUND(Z55*AA55,2)</f>
        <v>800.4</v>
      </c>
      <c r="AC55" s="194"/>
      <c r="AD55" s="194"/>
      <c r="AE55" s="174"/>
      <c r="AF55" s="232" t="s">
        <v>51</v>
      </c>
      <c r="AG55" s="233"/>
      <c r="AH55" s="234"/>
      <c r="AI55" s="234"/>
      <c r="AJ55" s="235">
        <f>SUM(AJ51:AJ54)</f>
        <v>39.51</v>
      </c>
      <c r="AK55" s="235"/>
      <c r="AL55" s="135"/>
      <c r="AM55" s="174"/>
      <c r="AN55" s="202" t="s">
        <v>62</v>
      </c>
      <c r="AO55" s="250"/>
      <c r="AP55" s="168"/>
      <c r="AQ55" s="168"/>
      <c r="AR55" s="251">
        <f>SUM(AR54:AR54)</f>
        <v>117.6</v>
      </c>
      <c r="AS55" s="194"/>
      <c r="AU55" s="174"/>
      <c r="AV55" s="143"/>
      <c r="AW55" s="232" t="s">
        <v>57</v>
      </c>
      <c r="AX55" s="233"/>
      <c r="AY55" s="234"/>
      <c r="AZ55" s="234"/>
      <c r="BA55" s="235">
        <f>SUM(BA52:BA54)</f>
        <v>182252</v>
      </c>
      <c r="BB55" s="138">
        <f>+BA55/BA50</f>
        <v>8.4108609606524214E-3</v>
      </c>
      <c r="BC55" s="135"/>
      <c r="BD55" s="248"/>
      <c r="BE55" s="249"/>
      <c r="BF55" s="219"/>
      <c r="BG55" s="219"/>
      <c r="BH55" s="215"/>
      <c r="BI55" s="194"/>
      <c r="BK55" s="164"/>
      <c r="BL55" s="144"/>
      <c r="BM55" s="194"/>
      <c r="BN55" s="194"/>
      <c r="BO55" s="194"/>
      <c r="BP55" s="176"/>
      <c r="BQ55" s="189"/>
      <c r="BR55" s="176"/>
      <c r="BS55" s="176"/>
      <c r="BT55" s="176"/>
      <c r="BU55" s="176"/>
      <c r="BV55" s="176"/>
      <c r="BW55" s="176"/>
      <c r="BX55" s="176"/>
      <c r="BY55" s="176"/>
      <c r="BZ55" s="176"/>
    </row>
    <row r="56" spans="4:78" ht="18" customHeight="1" x14ac:dyDescent="0.2">
      <c r="D56" s="240"/>
      <c r="E56" s="242" t="s">
        <v>22</v>
      </c>
      <c r="F56" s="243" t="s">
        <v>137</v>
      </c>
      <c r="G56" s="244" t="s">
        <v>4</v>
      </c>
      <c r="H56" s="244">
        <v>12.35</v>
      </c>
      <c r="I56" s="245">
        <f>+$AJ$220</f>
        <v>5832.9</v>
      </c>
      <c r="J56" s="245">
        <f>ROUND(I56*H56,2)</f>
        <v>72036.320000000007</v>
      </c>
      <c r="K56" s="246"/>
      <c r="L56" s="247">
        <f>+J56/$K$120</f>
        <v>3.7848513573277535E-4</v>
      </c>
      <c r="M56" s="379">
        <f t="shared" si="3"/>
        <v>3.7848513573277535E-4</v>
      </c>
      <c r="O56" s="258"/>
      <c r="P56" s="224" t="s">
        <v>56</v>
      </c>
      <c r="Q56" s="225" t="s">
        <v>55</v>
      </c>
      <c r="R56" s="226">
        <v>0.25</v>
      </c>
      <c r="S56" s="226">
        <v>1354.6999999999998</v>
      </c>
      <c r="T56" s="215">
        <f>+ROUND(R56*S56,2)</f>
        <v>338.68</v>
      </c>
      <c r="U56" s="194"/>
      <c r="V56" s="194"/>
      <c r="W56" s="143"/>
      <c r="X56" s="224" t="s">
        <v>56</v>
      </c>
      <c r="Y56" s="225" t="s">
        <v>55</v>
      </c>
      <c r="Z56" s="226">
        <v>0.5</v>
      </c>
      <c r="AA56" s="226">
        <v>1354.6999999999998</v>
      </c>
      <c r="AB56" s="215">
        <f>+ROUND(Z56*AA56,2)</f>
        <v>677.35</v>
      </c>
      <c r="AC56" s="194"/>
      <c r="AD56" s="194"/>
      <c r="AE56" s="174"/>
      <c r="AF56" s="197" t="s">
        <v>53</v>
      </c>
      <c r="AG56" s="198"/>
      <c r="AH56" s="199"/>
      <c r="AI56" s="199"/>
      <c r="AJ56" s="200"/>
      <c r="AK56" s="241">
        <f>+AJ51*AK47</f>
        <v>700.12800000000004</v>
      </c>
      <c r="AL56" s="135"/>
      <c r="AM56" s="174"/>
      <c r="AN56" s="253" t="s">
        <v>63</v>
      </c>
      <c r="AO56" s="233"/>
      <c r="AP56" s="254" t="s">
        <v>64</v>
      </c>
      <c r="AQ56" s="255"/>
      <c r="AR56" s="256">
        <f>+AR47+AR52+AR55</f>
        <v>19015.079999999998</v>
      </c>
      <c r="AS56" s="194"/>
      <c r="AT56" s="163"/>
      <c r="AU56" s="174"/>
      <c r="AV56" s="143"/>
      <c r="AW56" s="197" t="s">
        <v>58</v>
      </c>
      <c r="AX56" s="198"/>
      <c r="AY56" s="199"/>
      <c r="AZ56" s="199"/>
      <c r="BA56" s="200"/>
      <c r="BB56" s="153"/>
      <c r="BC56" s="135"/>
      <c r="BD56" s="232" t="s">
        <v>57</v>
      </c>
      <c r="BE56" s="233"/>
      <c r="BF56" s="234"/>
      <c r="BG56" s="234"/>
      <c r="BH56" s="235">
        <f>SUM(BH53:BH55)</f>
        <v>1300420</v>
      </c>
      <c r="BI56" s="138">
        <f>+BH56/BH51</f>
        <v>0.33932212096934072</v>
      </c>
      <c r="BJ56" s="149"/>
      <c r="BK56" s="164"/>
      <c r="BL56" s="144"/>
      <c r="BM56" s="194"/>
      <c r="BN56" s="194"/>
      <c r="BO56" s="194"/>
      <c r="BP56" s="176"/>
      <c r="BQ56" s="273"/>
      <c r="BR56" s="176"/>
      <c r="BS56" s="176"/>
      <c r="BT56" s="176"/>
      <c r="BU56" s="176"/>
      <c r="BV56" s="176"/>
      <c r="BW56" s="176"/>
      <c r="BX56" s="176"/>
      <c r="BY56" s="176"/>
      <c r="BZ56" s="176"/>
    </row>
    <row r="57" spans="4:78" ht="18" customHeight="1" x14ac:dyDescent="0.2">
      <c r="D57" s="240"/>
      <c r="E57" s="242" t="s">
        <v>27</v>
      </c>
      <c r="F57" s="243" t="s">
        <v>138</v>
      </c>
      <c r="G57" s="244" t="s">
        <v>4</v>
      </c>
      <c r="H57" s="244">
        <v>32.200000000000003</v>
      </c>
      <c r="I57" s="245">
        <f>+$AJ$240</f>
        <v>4105.18</v>
      </c>
      <c r="J57" s="245">
        <f>ROUND(I57*H57,2)</f>
        <v>132186.79999999999</v>
      </c>
      <c r="K57" s="246"/>
      <c r="L57" s="247">
        <f>+J57/$K$120</f>
        <v>6.9452102689422808E-4</v>
      </c>
      <c r="M57" s="379">
        <f t="shared" si="3"/>
        <v>6.9452102689422808E-4</v>
      </c>
      <c r="O57" s="258"/>
      <c r="P57" s="248"/>
      <c r="Q57" s="249"/>
      <c r="R57" s="219"/>
      <c r="S57" s="219"/>
      <c r="T57" s="215"/>
      <c r="U57" s="194"/>
      <c r="W57" s="143"/>
      <c r="X57" s="248"/>
      <c r="Y57" s="249"/>
      <c r="Z57" s="219"/>
      <c r="AA57" s="219"/>
      <c r="AB57" s="215"/>
      <c r="AC57" s="194"/>
      <c r="AE57" s="174"/>
      <c r="AF57" s="224" t="s">
        <v>54</v>
      </c>
      <c r="AG57" s="225" t="s">
        <v>55</v>
      </c>
      <c r="AH57" s="226">
        <v>0.1</v>
      </c>
      <c r="AI57" s="226">
        <v>1600.8</v>
      </c>
      <c r="AJ57" s="215">
        <f>+ROUND(AH57*AI57,2)</f>
        <v>160.08000000000001</v>
      </c>
      <c r="AK57" s="194"/>
      <c r="AL57" s="135"/>
      <c r="AM57" s="174"/>
      <c r="AN57" s="152"/>
      <c r="AO57" s="153"/>
      <c r="AP57" s="145"/>
      <c r="AQ57" s="145"/>
      <c r="AR57" s="145"/>
      <c r="AS57" s="154"/>
      <c r="AT57" s="145"/>
      <c r="AU57" s="174"/>
      <c r="AV57" s="143"/>
      <c r="AW57" s="252" t="s">
        <v>59</v>
      </c>
      <c r="AX57" s="213" t="s">
        <v>60</v>
      </c>
      <c r="AY57" s="226">
        <v>2400</v>
      </c>
      <c r="AZ57" s="226">
        <v>1.9600688000000004</v>
      </c>
      <c r="BA57" s="215">
        <f>+ROUND(AY57*AZ57,2)</f>
        <v>4704.17</v>
      </c>
      <c r="BB57" s="194"/>
      <c r="BC57" s="135"/>
      <c r="BD57" s="197" t="s">
        <v>58</v>
      </c>
      <c r="BE57" s="198"/>
      <c r="BF57" s="199"/>
      <c r="BG57" s="199"/>
      <c r="BH57" s="200"/>
      <c r="BI57" s="153"/>
      <c r="BK57" s="164"/>
      <c r="BL57" s="144"/>
      <c r="BM57" s="194"/>
      <c r="BN57" s="194"/>
      <c r="BO57" s="194"/>
      <c r="BP57" s="176"/>
      <c r="BQ57" s="273"/>
      <c r="BR57" s="176"/>
      <c r="BS57" s="176"/>
      <c r="BT57" s="176"/>
      <c r="BU57" s="176"/>
      <c r="BV57" s="176"/>
      <c r="BW57" s="176"/>
      <c r="BX57" s="176"/>
      <c r="BY57" s="176"/>
      <c r="BZ57" s="176"/>
    </row>
    <row r="58" spans="4:78" ht="18" customHeight="1" x14ac:dyDescent="0.2">
      <c r="D58" s="240"/>
      <c r="E58" s="395">
        <v>10</v>
      </c>
      <c r="F58" s="396" t="s">
        <v>109</v>
      </c>
      <c r="G58" s="397"/>
      <c r="H58" s="398"/>
      <c r="I58" s="398"/>
      <c r="J58" s="398"/>
      <c r="K58" s="399">
        <f>SUM(J59:J60)</f>
        <v>13342847.629999999</v>
      </c>
      <c r="L58" s="400">
        <f>+K58/$K$120</f>
        <v>7.0104490294649824E-2</v>
      </c>
      <c r="M58" s="379"/>
      <c r="O58" s="258"/>
      <c r="P58" s="232" t="s">
        <v>57</v>
      </c>
      <c r="Q58" s="233"/>
      <c r="R58" s="234"/>
      <c r="S58" s="234"/>
      <c r="T58" s="235">
        <f>SUM(T55:T57)</f>
        <v>498.76</v>
      </c>
      <c r="V58" s="149"/>
      <c r="W58" s="143"/>
      <c r="X58" s="232" t="s">
        <v>57</v>
      </c>
      <c r="Y58" s="233"/>
      <c r="Z58" s="234"/>
      <c r="AA58" s="234"/>
      <c r="AB58" s="235">
        <f>SUM(AB55:AB57)</f>
        <v>1477.75</v>
      </c>
      <c r="AC58" s="138">
        <f>+AB58/AB53</f>
        <v>8.8278481496615227E-2</v>
      </c>
      <c r="AD58" s="149"/>
      <c r="AE58" s="174"/>
      <c r="AF58" s="224" t="s">
        <v>56</v>
      </c>
      <c r="AG58" s="225" t="s">
        <v>55</v>
      </c>
      <c r="AH58" s="226">
        <v>0.1</v>
      </c>
      <c r="AI58" s="226">
        <v>1354.6999999999998</v>
      </c>
      <c r="AJ58" s="215">
        <f>+ROUND(AH58*AI58,2)</f>
        <v>135.47</v>
      </c>
      <c r="AK58" s="194"/>
      <c r="AL58" s="135"/>
      <c r="AM58" s="174"/>
      <c r="AN58" s="155" t="s">
        <v>388</v>
      </c>
      <c r="AO58" s="169"/>
      <c r="AP58" s="172"/>
      <c r="AQ58" s="172"/>
      <c r="AR58" s="173"/>
      <c r="AS58" s="154"/>
      <c r="AT58" s="153"/>
      <c r="AU58" s="174"/>
      <c r="AV58" s="143"/>
      <c r="AW58" s="202" t="s">
        <v>62</v>
      </c>
      <c r="AX58" s="250"/>
      <c r="AY58" s="168"/>
      <c r="AZ58" s="168"/>
      <c r="BA58" s="251">
        <f>SUM(BA57:BA57)</f>
        <v>4704.17</v>
      </c>
      <c r="BB58" s="194"/>
      <c r="BC58" s="135"/>
      <c r="BD58" s="252" t="s">
        <v>59</v>
      </c>
      <c r="BE58" s="213" t="s">
        <v>60</v>
      </c>
      <c r="BF58" s="226">
        <v>1500</v>
      </c>
      <c r="BG58" s="226">
        <v>1.9600688000000004</v>
      </c>
      <c r="BH58" s="215">
        <f>+ROUND(BF58*BG58,2)</f>
        <v>2940.1</v>
      </c>
      <c r="BI58" s="194"/>
      <c r="BK58" s="164"/>
      <c r="BL58" s="144"/>
      <c r="BM58" s="194"/>
      <c r="BN58" s="194"/>
      <c r="BO58" s="194"/>
      <c r="BP58" s="176"/>
      <c r="BQ58" s="273"/>
      <c r="BR58" s="176"/>
      <c r="BS58" s="176"/>
      <c r="BT58" s="176"/>
      <c r="BU58" s="176"/>
      <c r="BV58" s="176"/>
      <c r="BW58" s="176"/>
      <c r="BX58" s="176"/>
      <c r="BY58" s="176"/>
      <c r="BZ58" s="176"/>
    </row>
    <row r="59" spans="4:78" ht="18" customHeight="1" x14ac:dyDescent="0.2">
      <c r="D59" s="240"/>
      <c r="E59" s="242" t="s">
        <v>13</v>
      </c>
      <c r="F59" s="243" t="s">
        <v>248</v>
      </c>
      <c r="G59" s="244" t="s">
        <v>6</v>
      </c>
      <c r="H59" s="244">
        <v>358.7</v>
      </c>
      <c r="I59" s="245">
        <f>+$AR$20</f>
        <v>33780.699999999997</v>
      </c>
      <c r="J59" s="245">
        <f>ROUND(I59*H59,2)</f>
        <v>12117137.09</v>
      </c>
      <c r="K59" s="246"/>
      <c r="L59" s="247">
        <f>+J59/$K$120</f>
        <v>6.3664499744036013E-2</v>
      </c>
      <c r="M59" s="379">
        <f t="shared" si="3"/>
        <v>6.3664499744036013E-2</v>
      </c>
      <c r="O59" s="258"/>
      <c r="P59" s="197" t="s">
        <v>58</v>
      </c>
      <c r="Q59" s="198"/>
      <c r="R59" s="199"/>
      <c r="S59" s="199"/>
      <c r="T59" s="200"/>
      <c r="U59" s="153"/>
      <c r="W59" s="143"/>
      <c r="X59" s="197" t="s">
        <v>58</v>
      </c>
      <c r="Y59" s="198"/>
      <c r="Z59" s="199"/>
      <c r="AA59" s="199"/>
      <c r="AB59" s="200"/>
      <c r="AC59" s="153"/>
      <c r="AE59" s="174"/>
      <c r="AF59" s="248"/>
      <c r="AG59" s="249"/>
      <c r="AH59" s="219"/>
      <c r="AI59" s="219"/>
      <c r="AJ59" s="215"/>
      <c r="AK59" s="194"/>
      <c r="AL59" s="135"/>
      <c r="AM59" s="174"/>
      <c r="AN59" s="177" t="s">
        <v>390</v>
      </c>
      <c r="AO59" s="150"/>
      <c r="AP59" s="178"/>
      <c r="AQ59" s="149"/>
      <c r="AR59" s="179" t="str">
        <f>$G$63</f>
        <v>m2</v>
      </c>
      <c r="AS59" s="180">
        <f>$H$63</f>
        <v>175.4</v>
      </c>
      <c r="AT59" s="153"/>
      <c r="AU59" s="174"/>
      <c r="AV59" s="143"/>
      <c r="AW59" s="253" t="s">
        <v>63</v>
      </c>
      <c r="AX59" s="233"/>
      <c r="AY59" s="254" t="s">
        <v>64</v>
      </c>
      <c r="AZ59" s="255"/>
      <c r="BA59" s="256">
        <f>+BA50+BA55+BA58</f>
        <v>21855605.890000001</v>
      </c>
      <c r="BB59" s="194"/>
      <c r="BC59" s="135"/>
      <c r="BD59" s="202" t="s">
        <v>62</v>
      </c>
      <c r="BE59" s="250"/>
      <c r="BF59" s="168"/>
      <c r="BG59" s="168"/>
      <c r="BH59" s="251">
        <f>SUM(BH58:BH58)</f>
        <v>2940.1</v>
      </c>
      <c r="BI59" s="194"/>
      <c r="BJ59" s="135"/>
      <c r="BK59" s="164"/>
      <c r="BL59" s="144"/>
      <c r="BM59" s="194"/>
      <c r="BN59" s="194"/>
      <c r="BO59" s="194"/>
      <c r="BP59" s="176"/>
      <c r="BQ59" s="277"/>
      <c r="BR59" s="176"/>
      <c r="BS59" s="176"/>
      <c r="BT59" s="176"/>
      <c r="BU59" s="176"/>
      <c r="BV59" s="176"/>
      <c r="BW59" s="176"/>
      <c r="BX59" s="176"/>
      <c r="BY59" s="176"/>
      <c r="BZ59" s="176"/>
    </row>
    <row r="60" spans="4:78" ht="18" customHeight="1" thickBot="1" x14ac:dyDescent="0.25">
      <c r="D60" s="240"/>
      <c r="E60" s="242" t="s">
        <v>23</v>
      </c>
      <c r="F60" s="243" t="s">
        <v>250</v>
      </c>
      <c r="G60" s="244" t="s">
        <v>6</v>
      </c>
      <c r="H60" s="244">
        <v>153</v>
      </c>
      <c r="I60" s="245">
        <f>+$AR$38</f>
        <v>8011.1799999999994</v>
      </c>
      <c r="J60" s="245">
        <f>ROUND(I60*H60,2)</f>
        <v>1225710.54</v>
      </c>
      <c r="K60" s="246"/>
      <c r="L60" s="247">
        <f>+J60/$K$120</f>
        <v>6.4399905506138198E-3</v>
      </c>
      <c r="M60" s="379">
        <f t="shared" si="3"/>
        <v>6.4399905506138198E-3</v>
      </c>
      <c r="O60" s="258"/>
      <c r="P60" s="252" t="s">
        <v>59</v>
      </c>
      <c r="Q60" s="213" t="s">
        <v>60</v>
      </c>
      <c r="R60" s="226">
        <v>25</v>
      </c>
      <c r="S60" s="226">
        <v>1.9600688000000004</v>
      </c>
      <c r="T60" s="215">
        <f>+ROUND(R60*S60,2)</f>
        <v>49</v>
      </c>
      <c r="U60" s="194"/>
      <c r="X60" s="252" t="s">
        <v>59</v>
      </c>
      <c r="Y60" s="213" t="s">
        <v>60</v>
      </c>
      <c r="Z60" s="226">
        <v>20.3</v>
      </c>
      <c r="AA60" s="226">
        <v>1.9600688000000004</v>
      </c>
      <c r="AB60" s="215">
        <f>+ROUND(Z60*AA60,2)</f>
        <v>39.79</v>
      </c>
      <c r="AC60" s="194"/>
      <c r="AE60" s="174"/>
      <c r="AF60" s="232" t="s">
        <v>57</v>
      </c>
      <c r="AG60" s="233"/>
      <c r="AH60" s="234"/>
      <c r="AI60" s="234"/>
      <c r="AJ60" s="235">
        <f>SUM(AJ57:AJ59)</f>
        <v>295.55</v>
      </c>
      <c r="AL60" s="135"/>
      <c r="AM60" s="174"/>
      <c r="AN60" s="183"/>
      <c r="AO60" s="184"/>
      <c r="AP60" s="185"/>
      <c r="AQ60" s="185"/>
      <c r="AR60" s="186"/>
      <c r="AT60" s="194"/>
      <c r="AU60" s="174"/>
      <c r="AV60" s="143"/>
      <c r="AW60" s="152"/>
      <c r="AX60" s="148"/>
      <c r="AY60" s="206"/>
      <c r="AZ60" s="194"/>
      <c r="BA60" s="144"/>
      <c r="BB60" s="194"/>
      <c r="BC60" s="135"/>
      <c r="BD60" s="253" t="s">
        <v>63</v>
      </c>
      <c r="BE60" s="233"/>
      <c r="BF60" s="254" t="s">
        <v>64</v>
      </c>
      <c r="BG60" s="255"/>
      <c r="BH60" s="256">
        <f>+BH51+BH56+BH59</f>
        <v>5135765.709999999</v>
      </c>
      <c r="BI60" s="194"/>
      <c r="BJ60" s="135"/>
      <c r="BK60" s="164"/>
      <c r="BL60" s="194"/>
      <c r="BM60" s="144"/>
      <c r="BN60" s="194"/>
      <c r="BO60" s="194"/>
      <c r="BP60" s="176"/>
      <c r="BQ60" s="277"/>
      <c r="BR60" s="176"/>
      <c r="BS60" s="176"/>
      <c r="BT60" s="176"/>
      <c r="BU60" s="176"/>
      <c r="BV60" s="176"/>
      <c r="BW60" s="176"/>
      <c r="BX60" s="176"/>
      <c r="BY60" s="176"/>
      <c r="BZ60" s="176"/>
    </row>
    <row r="61" spans="4:78" ht="18" customHeight="1" thickTop="1" x14ac:dyDescent="0.2">
      <c r="D61" s="149"/>
      <c r="E61" s="395">
        <v>11</v>
      </c>
      <c r="F61" s="396" t="s">
        <v>110</v>
      </c>
      <c r="G61" s="397"/>
      <c r="H61" s="398"/>
      <c r="I61" s="398"/>
      <c r="J61" s="398"/>
      <c r="K61" s="399">
        <f>SUM(J62:J63)</f>
        <v>4494568.3100000005</v>
      </c>
      <c r="L61" s="400">
        <f>+K61/$K$120</f>
        <v>2.3614855629362809E-2</v>
      </c>
      <c r="M61" s="379"/>
      <c r="O61" s="258"/>
      <c r="P61" s="202" t="s">
        <v>62</v>
      </c>
      <c r="Q61" s="250"/>
      <c r="R61" s="168"/>
      <c r="S61" s="168"/>
      <c r="T61" s="251">
        <f>SUM(T60:T60)</f>
        <v>49</v>
      </c>
      <c r="U61" s="194"/>
      <c r="V61" s="135"/>
      <c r="X61" s="202" t="s">
        <v>62</v>
      </c>
      <c r="Y61" s="250"/>
      <c r="Z61" s="168"/>
      <c r="AA61" s="168"/>
      <c r="AB61" s="251">
        <f>SUM(AB60:AB60)</f>
        <v>39.79</v>
      </c>
      <c r="AC61" s="194"/>
      <c r="AD61" s="135"/>
      <c r="AE61" s="174"/>
      <c r="AF61" s="197" t="s">
        <v>58</v>
      </c>
      <c r="AG61" s="198"/>
      <c r="AH61" s="199"/>
      <c r="AI61" s="199"/>
      <c r="AJ61" s="200"/>
      <c r="AK61" s="153"/>
      <c r="AL61" s="135"/>
      <c r="AM61" s="174"/>
      <c r="AN61" s="191" t="s">
        <v>31</v>
      </c>
      <c r="AO61" s="192" t="s">
        <v>32</v>
      </c>
      <c r="AP61" s="192" t="s">
        <v>33</v>
      </c>
      <c r="AQ61" s="192" t="s">
        <v>1</v>
      </c>
      <c r="AR61" s="192" t="s">
        <v>34</v>
      </c>
      <c r="AS61" s="193" t="s">
        <v>76</v>
      </c>
      <c r="AT61" s="153"/>
      <c r="AU61" s="174"/>
      <c r="AV61" s="143"/>
      <c r="AW61" s="155" t="s">
        <v>426</v>
      </c>
      <c r="AX61" s="169"/>
      <c r="AY61" s="172"/>
      <c r="AZ61" s="172"/>
      <c r="BA61" s="173"/>
      <c r="BB61" s="154"/>
      <c r="BC61" s="135"/>
      <c r="BD61" s="152"/>
      <c r="BE61" s="153"/>
      <c r="BF61" s="145"/>
      <c r="BG61" s="145"/>
      <c r="BH61" s="145"/>
      <c r="BI61" s="154"/>
      <c r="BK61" s="164"/>
      <c r="BL61" s="144"/>
      <c r="BM61" s="194"/>
      <c r="BN61" s="194"/>
      <c r="BO61" s="194"/>
      <c r="BP61" s="176"/>
      <c r="BQ61" s="273"/>
      <c r="BR61" s="176"/>
      <c r="BS61" s="176"/>
      <c r="BT61" s="176"/>
      <c r="BU61" s="176"/>
      <c r="BV61" s="176"/>
      <c r="BW61" s="176"/>
      <c r="BX61" s="176"/>
      <c r="BY61" s="176"/>
      <c r="BZ61" s="176"/>
    </row>
    <row r="62" spans="4:78" ht="18" customHeight="1" x14ac:dyDescent="0.2">
      <c r="D62" s="149"/>
      <c r="E62" s="242" t="s">
        <v>144</v>
      </c>
      <c r="F62" s="243" t="s">
        <v>249</v>
      </c>
      <c r="G62" s="244" t="s">
        <v>6</v>
      </c>
      <c r="H62" s="244">
        <v>145.5</v>
      </c>
      <c r="I62" s="245">
        <f>+$AR$56</f>
        <v>19015.079999999998</v>
      </c>
      <c r="J62" s="245">
        <f>ROUND(I62*H62,2)</f>
        <v>2766694.14</v>
      </c>
      <c r="K62" s="246"/>
      <c r="L62" s="247">
        <f>+J62/$K$120</f>
        <v>1.453645337669906E-2</v>
      </c>
      <c r="M62" s="379">
        <f t="shared" si="3"/>
        <v>1.453645337669906E-2</v>
      </c>
      <c r="O62" s="142"/>
      <c r="P62" s="253" t="s">
        <v>63</v>
      </c>
      <c r="Q62" s="233"/>
      <c r="R62" s="254" t="s">
        <v>64</v>
      </c>
      <c r="S62" s="255"/>
      <c r="T62" s="256">
        <f>+T53+T58+T61</f>
        <v>547.76</v>
      </c>
      <c r="U62" s="194"/>
      <c r="V62" s="135"/>
      <c r="X62" s="253" t="s">
        <v>63</v>
      </c>
      <c r="Y62" s="233"/>
      <c r="Z62" s="254" t="s">
        <v>64</v>
      </c>
      <c r="AA62" s="255"/>
      <c r="AB62" s="256">
        <f>+AB53+AB58+AB61</f>
        <v>18257.18</v>
      </c>
      <c r="AC62" s="194"/>
      <c r="AD62" s="135"/>
      <c r="AE62" s="174"/>
      <c r="AF62" s="252" t="s">
        <v>59</v>
      </c>
      <c r="AG62" s="213" t="s">
        <v>60</v>
      </c>
      <c r="AH62" s="226">
        <v>9.9662000000000006</v>
      </c>
      <c r="AI62" s="226">
        <v>1.9600688000000004</v>
      </c>
      <c r="AJ62" s="215">
        <f>+ROUND(AH62*AI62,2)</f>
        <v>19.53</v>
      </c>
      <c r="AK62" s="194"/>
      <c r="AL62" s="135"/>
      <c r="AM62" s="174"/>
      <c r="AN62" s="197" t="s">
        <v>37</v>
      </c>
      <c r="AO62" s="198"/>
      <c r="AP62" s="199"/>
      <c r="AQ62" s="199"/>
      <c r="AR62" s="200"/>
      <c r="AS62" s="201"/>
      <c r="AT62" s="153"/>
      <c r="AU62" s="174"/>
      <c r="AV62" s="143"/>
      <c r="AW62" s="177" t="s">
        <v>429</v>
      </c>
      <c r="AX62" s="150"/>
      <c r="AY62" s="178"/>
      <c r="AZ62" s="149"/>
      <c r="BA62" s="179" t="str">
        <f>$G$105</f>
        <v>UN</v>
      </c>
      <c r="BB62" s="180">
        <f>$H$105</f>
        <v>2</v>
      </c>
      <c r="BC62" s="135"/>
      <c r="BD62" s="155" t="s">
        <v>435</v>
      </c>
      <c r="BE62" s="169"/>
      <c r="BF62" s="172"/>
      <c r="BG62" s="172"/>
      <c r="BH62" s="173"/>
      <c r="BI62" s="154"/>
      <c r="BJ62" s="175"/>
      <c r="BK62" s="164"/>
      <c r="BL62" s="144"/>
      <c r="BM62" s="194"/>
      <c r="BN62" s="194"/>
      <c r="BO62" s="194"/>
      <c r="BP62" s="176"/>
      <c r="BQ62" s="273"/>
      <c r="BR62" s="176"/>
      <c r="BS62" s="176"/>
      <c r="BT62" s="176"/>
      <c r="BU62" s="176"/>
      <c r="BV62" s="176"/>
      <c r="BW62" s="176"/>
      <c r="BX62" s="176"/>
      <c r="BY62" s="176"/>
      <c r="BZ62" s="176"/>
    </row>
    <row r="63" spans="4:78" ht="18" customHeight="1" thickBot="1" x14ac:dyDescent="0.25">
      <c r="D63" s="149"/>
      <c r="E63" s="242" t="s">
        <v>168</v>
      </c>
      <c r="F63" s="243" t="s">
        <v>324</v>
      </c>
      <c r="G63" s="244" t="s">
        <v>6</v>
      </c>
      <c r="H63" s="244">
        <v>175.4</v>
      </c>
      <c r="I63" s="245">
        <f>+$AR$74</f>
        <v>9851.0500000000011</v>
      </c>
      <c r="J63" s="245">
        <f>ROUND(I63*H63,2)</f>
        <v>1727874.17</v>
      </c>
      <c r="K63" s="246"/>
      <c r="L63" s="247">
        <f>+J63/$K$120</f>
        <v>9.0784022526637451E-3</v>
      </c>
      <c r="M63" s="379">
        <f t="shared" si="3"/>
        <v>9.0784022526637451E-3</v>
      </c>
      <c r="O63" s="258"/>
      <c r="P63" s="194"/>
      <c r="Q63" s="148"/>
      <c r="R63" s="206"/>
      <c r="S63" s="194"/>
      <c r="T63" s="144"/>
      <c r="U63" s="194"/>
      <c r="V63" s="135"/>
      <c r="X63" s="152"/>
      <c r="Y63" s="148"/>
      <c r="Z63" s="206"/>
      <c r="AA63" s="194"/>
      <c r="AB63" s="144"/>
      <c r="AC63" s="194"/>
      <c r="AD63" s="135"/>
      <c r="AE63" s="174"/>
      <c r="AF63" s="202" t="s">
        <v>62</v>
      </c>
      <c r="AG63" s="250"/>
      <c r="AH63" s="168"/>
      <c r="AI63" s="168"/>
      <c r="AJ63" s="251">
        <f>SUM(AJ62:AJ62)</f>
        <v>19.53</v>
      </c>
      <c r="AK63" s="194"/>
      <c r="AL63" s="135"/>
      <c r="AM63" s="174"/>
      <c r="AN63" s="216" t="s">
        <v>324</v>
      </c>
      <c r="AO63" s="213" t="s">
        <v>4</v>
      </c>
      <c r="AP63" s="214">
        <v>1.03</v>
      </c>
      <c r="AQ63" s="214">
        <v>6425.8137379999998</v>
      </c>
      <c r="AR63" s="215">
        <f>+ROUND(AP63*AQ63,2)</f>
        <v>6618.59</v>
      </c>
      <c r="AS63" s="201"/>
      <c r="AT63" s="194"/>
      <c r="AU63" s="174"/>
      <c r="AV63" s="143"/>
      <c r="AW63" s="183"/>
      <c r="AX63" s="184"/>
      <c r="AY63" s="185"/>
      <c r="AZ63" s="185"/>
      <c r="BA63" s="186"/>
      <c r="BC63" s="135"/>
      <c r="BD63" s="177" t="s">
        <v>439</v>
      </c>
      <c r="BE63" s="150"/>
      <c r="BF63" s="178"/>
      <c r="BG63" s="149"/>
      <c r="BH63" s="179" t="str">
        <f>$G$115</f>
        <v>UN</v>
      </c>
      <c r="BI63" s="180">
        <f>$H$115</f>
        <v>1</v>
      </c>
      <c r="BJ63" s="181"/>
      <c r="BK63" s="164"/>
      <c r="BL63" s="144"/>
      <c r="BM63" s="194"/>
      <c r="BN63" s="194"/>
      <c r="BO63" s="194"/>
      <c r="BP63" s="176"/>
      <c r="BQ63" s="273"/>
      <c r="BR63" s="176"/>
      <c r="BS63" s="176"/>
      <c r="BT63" s="176"/>
      <c r="BU63" s="176"/>
      <c r="BV63" s="176"/>
      <c r="BW63" s="176"/>
      <c r="BX63" s="176"/>
      <c r="BY63" s="176"/>
      <c r="BZ63" s="176"/>
    </row>
    <row r="64" spans="4:78" ht="18" customHeight="1" thickTop="1" thickBot="1" x14ac:dyDescent="0.25">
      <c r="D64" s="240"/>
      <c r="E64" s="395">
        <v>12</v>
      </c>
      <c r="F64" s="396" t="s">
        <v>115</v>
      </c>
      <c r="G64" s="397"/>
      <c r="H64" s="398"/>
      <c r="I64" s="398"/>
      <c r="J64" s="398"/>
      <c r="K64" s="399">
        <f>SUM(J65:J71)</f>
        <v>6810160.8100000005</v>
      </c>
      <c r="L64" s="400">
        <f>+K64/$K$120</f>
        <v>3.5781181472552694E-2</v>
      </c>
      <c r="M64" s="379"/>
      <c r="P64" s="155" t="s">
        <v>344</v>
      </c>
      <c r="Q64" s="169"/>
      <c r="R64" s="172"/>
      <c r="S64" s="172"/>
      <c r="T64" s="173"/>
      <c r="U64" s="154"/>
      <c r="V64" s="135"/>
      <c r="W64" s="143"/>
      <c r="X64" s="155" t="s">
        <v>354</v>
      </c>
      <c r="Y64" s="169"/>
      <c r="Z64" s="172"/>
      <c r="AA64" s="172"/>
      <c r="AB64" s="173"/>
      <c r="AC64" s="154"/>
      <c r="AD64" s="135"/>
      <c r="AE64" s="174"/>
      <c r="AF64" s="253" t="s">
        <v>63</v>
      </c>
      <c r="AG64" s="233"/>
      <c r="AH64" s="254" t="s">
        <v>64</v>
      </c>
      <c r="AI64" s="255"/>
      <c r="AJ64" s="256">
        <f>+AJ55+AJ60+AJ63</f>
        <v>354.59000000000003</v>
      </c>
      <c r="AK64" s="194"/>
      <c r="AL64" s="135"/>
      <c r="AM64" s="174"/>
      <c r="AN64" s="224" t="s">
        <v>50</v>
      </c>
      <c r="AO64" s="274" t="s">
        <v>28</v>
      </c>
      <c r="AP64" s="275">
        <v>0.03</v>
      </c>
      <c r="AQ64" s="194">
        <v>6618.59</v>
      </c>
      <c r="AR64" s="215">
        <f>+ROUND(AP64*AQ64,2)</f>
        <v>198.56</v>
      </c>
      <c r="AS64" s="201"/>
      <c r="AT64" s="194"/>
      <c r="AU64" s="278"/>
      <c r="AV64" s="143"/>
      <c r="AW64" s="191" t="s">
        <v>31</v>
      </c>
      <c r="AX64" s="192" t="s">
        <v>32</v>
      </c>
      <c r="AY64" s="192" t="s">
        <v>33</v>
      </c>
      <c r="AZ64" s="192" t="s">
        <v>1</v>
      </c>
      <c r="BA64" s="192" t="s">
        <v>34</v>
      </c>
      <c r="BB64" s="193" t="s">
        <v>76</v>
      </c>
      <c r="BC64" s="135"/>
      <c r="BD64" s="183"/>
      <c r="BE64" s="184"/>
      <c r="BF64" s="185"/>
      <c r="BG64" s="185"/>
      <c r="BH64" s="186"/>
      <c r="BJ64" s="181"/>
      <c r="BK64" s="164"/>
      <c r="BL64" s="144"/>
      <c r="BM64" s="194"/>
      <c r="BN64" s="194"/>
      <c r="BO64" s="194"/>
      <c r="BP64" s="194"/>
      <c r="BQ64" s="273"/>
      <c r="BR64" s="176"/>
      <c r="BS64" s="176"/>
      <c r="BT64" s="176"/>
      <c r="BU64" s="176"/>
      <c r="BV64" s="176"/>
      <c r="BW64" s="176"/>
      <c r="BX64" s="176"/>
      <c r="BY64" s="176"/>
      <c r="BZ64" s="176"/>
    </row>
    <row r="65" spans="4:78" ht="18" customHeight="1" thickTop="1" x14ac:dyDescent="0.2">
      <c r="D65" s="240"/>
      <c r="E65" s="242" t="s">
        <v>145</v>
      </c>
      <c r="F65" s="243" t="s">
        <v>244</v>
      </c>
      <c r="G65" s="244" t="s">
        <v>6</v>
      </c>
      <c r="H65" s="244">
        <v>87.446899999999999</v>
      </c>
      <c r="I65" s="245">
        <f>+$AR$93</f>
        <v>2093.67</v>
      </c>
      <c r="J65" s="245">
        <f>ROUND(I65*H65,2)</f>
        <v>183084.95</v>
      </c>
      <c r="K65" s="246"/>
      <c r="L65" s="247">
        <f>+J65/$K$120</f>
        <v>9.6194436572243536E-4</v>
      </c>
      <c r="M65" s="379">
        <f t="shared" si="3"/>
        <v>9.6194436572243536E-4</v>
      </c>
      <c r="P65" s="177" t="s">
        <v>346</v>
      </c>
      <c r="Q65" s="150"/>
      <c r="R65" s="178"/>
      <c r="S65" s="149"/>
      <c r="T65" s="179" t="str">
        <f>$G$17</f>
        <v>Un</v>
      </c>
      <c r="U65" s="180">
        <f>$H$17</f>
        <v>2</v>
      </c>
      <c r="V65" s="163"/>
      <c r="W65" s="143"/>
      <c r="X65" s="177" t="s">
        <v>358</v>
      </c>
      <c r="Y65" s="150"/>
      <c r="Z65" s="178"/>
      <c r="AA65" s="149"/>
      <c r="AB65" s="179" t="str">
        <f>$G$31</f>
        <v>ml</v>
      </c>
      <c r="AC65" s="180">
        <f>$H$31</f>
        <v>43.670000000000009</v>
      </c>
      <c r="AD65" s="163"/>
      <c r="AE65" s="174"/>
      <c r="AF65" s="152"/>
      <c r="AG65" s="148"/>
      <c r="AH65" s="206"/>
      <c r="AI65" s="194"/>
      <c r="AJ65" s="144"/>
      <c r="AK65" s="194"/>
      <c r="AL65" s="135"/>
      <c r="AM65" s="174"/>
      <c r="AN65" s="232" t="s">
        <v>51</v>
      </c>
      <c r="AO65" s="233"/>
      <c r="AP65" s="234"/>
      <c r="AQ65" s="234"/>
      <c r="AR65" s="235">
        <f>SUM(AR63:AR64)</f>
        <v>6817.1500000000005</v>
      </c>
      <c r="AS65" s="235"/>
      <c r="AT65" s="194"/>
      <c r="AU65" s="174"/>
      <c r="AV65" s="174"/>
      <c r="AW65" s="197" t="s">
        <v>37</v>
      </c>
      <c r="AX65" s="198"/>
      <c r="AY65" s="199"/>
      <c r="AZ65" s="199"/>
      <c r="BA65" s="200"/>
      <c r="BB65" s="201"/>
      <c r="BC65" s="135"/>
      <c r="BD65" s="191" t="s">
        <v>31</v>
      </c>
      <c r="BE65" s="192" t="s">
        <v>32</v>
      </c>
      <c r="BF65" s="192" t="s">
        <v>33</v>
      </c>
      <c r="BG65" s="192" t="s">
        <v>1</v>
      </c>
      <c r="BH65" s="192" t="s">
        <v>34</v>
      </c>
      <c r="BI65" s="193" t="s">
        <v>76</v>
      </c>
      <c r="BJ65" s="194"/>
      <c r="BK65" s="164"/>
      <c r="BL65" s="144"/>
      <c r="BM65" s="194"/>
      <c r="BN65" s="194"/>
      <c r="BO65" s="194"/>
      <c r="BP65" s="176"/>
      <c r="BQ65" s="273"/>
      <c r="BR65" s="176"/>
      <c r="BS65" s="176"/>
      <c r="BT65" s="176"/>
      <c r="BU65" s="176"/>
      <c r="BV65" s="176"/>
      <c r="BW65" s="176"/>
      <c r="BX65" s="176"/>
      <c r="BY65" s="176"/>
      <c r="BZ65" s="176"/>
    </row>
    <row r="66" spans="4:78" ht="18" customHeight="1" thickBot="1" x14ac:dyDescent="0.25">
      <c r="D66" s="240"/>
      <c r="E66" s="242" t="s">
        <v>146</v>
      </c>
      <c r="F66" s="243" t="s">
        <v>281</v>
      </c>
      <c r="G66" s="244" t="s">
        <v>6</v>
      </c>
      <c r="H66" s="244">
        <v>87.446899999999999</v>
      </c>
      <c r="I66" s="245">
        <f>+$AR$114</f>
        <v>14423.44</v>
      </c>
      <c r="J66" s="245">
        <f t="shared" ref="J66:J70" si="13">ROUND(I66*H66,2)</f>
        <v>1261285.1200000001</v>
      </c>
      <c r="K66" s="246"/>
      <c r="L66" s="247">
        <f t="shared" ref="L66:L71" si="14">+J66/$K$120</f>
        <v>6.6269025103021621E-3</v>
      </c>
      <c r="M66" s="379">
        <f t="shared" si="3"/>
        <v>6.6269025103021621E-3</v>
      </c>
      <c r="O66" s="142"/>
      <c r="P66" s="183"/>
      <c r="Q66" s="184"/>
      <c r="R66" s="185"/>
      <c r="S66" s="185"/>
      <c r="T66" s="186"/>
      <c r="V66" s="145"/>
      <c r="W66" s="143"/>
      <c r="X66" s="183"/>
      <c r="Y66" s="184"/>
      <c r="Z66" s="185"/>
      <c r="AA66" s="185"/>
      <c r="AB66" s="186"/>
      <c r="AD66" s="145"/>
      <c r="AE66" s="174"/>
      <c r="AF66" s="155" t="s">
        <v>367</v>
      </c>
      <c r="AG66" s="169"/>
      <c r="AH66" s="172"/>
      <c r="AI66" s="172"/>
      <c r="AJ66" s="173"/>
      <c r="AK66" s="154"/>
      <c r="AL66" s="135"/>
      <c r="AM66" s="174"/>
      <c r="AN66" s="197" t="s">
        <v>53</v>
      </c>
      <c r="AO66" s="198"/>
      <c r="AP66" s="199"/>
      <c r="AQ66" s="199"/>
      <c r="AR66" s="200"/>
      <c r="AS66" s="241">
        <f>+AR63*AS59</f>
        <v>1160900.686</v>
      </c>
      <c r="AT66" s="194"/>
      <c r="AU66" s="174"/>
      <c r="AV66" s="143"/>
      <c r="AW66" s="216" t="s">
        <v>123</v>
      </c>
      <c r="AX66" s="213" t="s">
        <v>49</v>
      </c>
      <c r="AY66" s="214">
        <v>1</v>
      </c>
      <c r="AZ66" s="214">
        <v>308800</v>
      </c>
      <c r="BA66" s="215">
        <f>+ROUND(AY66*AZ66,2)</f>
        <v>308800</v>
      </c>
      <c r="BB66" s="201"/>
      <c r="BC66" s="135"/>
      <c r="BD66" s="197" t="s">
        <v>37</v>
      </c>
      <c r="BE66" s="198"/>
      <c r="BF66" s="199"/>
      <c r="BG66" s="199"/>
      <c r="BH66" s="200"/>
      <c r="BI66" s="201"/>
      <c r="BJ66" s="194"/>
      <c r="BK66" s="164"/>
      <c r="BL66" s="144"/>
      <c r="BM66" s="194"/>
      <c r="BN66" s="194"/>
      <c r="BO66" s="194"/>
      <c r="BP66" s="176"/>
      <c r="BQ66" s="273"/>
      <c r="BR66" s="176"/>
      <c r="BS66" s="176"/>
      <c r="BT66" s="176"/>
      <c r="BU66" s="176"/>
      <c r="BV66" s="176"/>
      <c r="BW66" s="176"/>
      <c r="BX66" s="176"/>
      <c r="BY66" s="176"/>
      <c r="BZ66" s="176"/>
    </row>
    <row r="67" spans="4:78" ht="18" customHeight="1" thickTop="1" x14ac:dyDescent="0.2">
      <c r="D67" s="240"/>
      <c r="E67" s="242" t="s">
        <v>213</v>
      </c>
      <c r="F67" s="243" t="s">
        <v>247</v>
      </c>
      <c r="G67" s="244" t="s">
        <v>4</v>
      </c>
      <c r="H67" s="244">
        <v>26.2</v>
      </c>
      <c r="I67" s="245">
        <f>+$AR$134</f>
        <v>1764.0000000000002</v>
      </c>
      <c r="J67" s="245">
        <f t="shared" si="13"/>
        <v>46216.800000000003</v>
      </c>
      <c r="K67" s="246"/>
      <c r="L67" s="247">
        <f t="shared" si="14"/>
        <v>2.4282711583732388E-4</v>
      </c>
      <c r="M67" s="379">
        <f t="shared" si="3"/>
        <v>2.4282711583732388E-4</v>
      </c>
      <c r="P67" s="191" t="s">
        <v>31</v>
      </c>
      <c r="Q67" s="192" t="s">
        <v>32</v>
      </c>
      <c r="R67" s="192" t="s">
        <v>33</v>
      </c>
      <c r="S67" s="192" t="s">
        <v>1</v>
      </c>
      <c r="T67" s="192" t="s">
        <v>34</v>
      </c>
      <c r="U67" s="193" t="s">
        <v>76</v>
      </c>
      <c r="V67" s="153"/>
      <c r="W67" s="143"/>
      <c r="X67" s="191" t="s">
        <v>31</v>
      </c>
      <c r="Y67" s="192" t="s">
        <v>32</v>
      </c>
      <c r="Z67" s="192" t="s">
        <v>33</v>
      </c>
      <c r="AA67" s="192" t="s">
        <v>1</v>
      </c>
      <c r="AB67" s="192" t="s">
        <v>34</v>
      </c>
      <c r="AC67" s="193" t="s">
        <v>76</v>
      </c>
      <c r="AD67" s="153"/>
      <c r="AE67" s="174"/>
      <c r="AF67" s="177" t="s">
        <v>371</v>
      </c>
      <c r="AG67" s="150"/>
      <c r="AH67" s="178"/>
      <c r="AI67" s="149"/>
      <c r="AJ67" s="179" t="str">
        <f>$G$44</f>
        <v>ml</v>
      </c>
      <c r="AK67" s="180">
        <f>$H$44</f>
        <v>52.800000000000004</v>
      </c>
      <c r="AL67" s="135"/>
      <c r="AM67" s="174"/>
      <c r="AN67" s="224" t="s">
        <v>54</v>
      </c>
      <c r="AO67" s="225" t="s">
        <v>55</v>
      </c>
      <c r="AP67" s="226">
        <v>1</v>
      </c>
      <c r="AQ67" s="226">
        <v>1600.8</v>
      </c>
      <c r="AR67" s="215">
        <f>+ROUND(AP67*AQ67,2)</f>
        <v>1600.8</v>
      </c>
      <c r="AS67" s="194"/>
      <c r="AU67" s="174"/>
      <c r="AV67" s="143"/>
      <c r="AW67" s="216" t="s">
        <v>65</v>
      </c>
      <c r="AX67" s="213" t="s">
        <v>28</v>
      </c>
      <c r="AY67" s="214">
        <v>1</v>
      </c>
      <c r="AZ67" s="214">
        <v>57815.082644628099</v>
      </c>
      <c r="BA67" s="215">
        <f>+ROUND(AY67*AZ67,2)</f>
        <v>57815.08</v>
      </c>
      <c r="BB67" s="201"/>
      <c r="BC67" s="135"/>
      <c r="BD67" s="216" t="s">
        <v>439</v>
      </c>
      <c r="BE67" s="213" t="s">
        <v>35</v>
      </c>
      <c r="BF67" s="214">
        <v>1</v>
      </c>
      <c r="BG67" s="214">
        <v>344451.40749999997</v>
      </c>
      <c r="BH67" s="217">
        <f>ROUND((BG67*BF67),2)</f>
        <v>344451.41</v>
      </c>
      <c r="BI67" s="201"/>
      <c r="BJ67" s="241">
        <f>+BH67*BI63</f>
        <v>344451.41</v>
      </c>
      <c r="BK67" s="164"/>
      <c r="BL67" s="144"/>
      <c r="BM67" s="194"/>
      <c r="BN67" s="194"/>
      <c r="BO67" s="194"/>
      <c r="BP67" s="176"/>
      <c r="BQ67" s="189"/>
      <c r="BR67" s="176"/>
      <c r="BS67" s="176"/>
      <c r="BT67" s="176"/>
      <c r="BU67" s="176"/>
      <c r="BV67" s="176"/>
      <c r="BW67" s="176"/>
      <c r="BX67" s="176"/>
      <c r="BY67" s="176"/>
      <c r="BZ67" s="176"/>
    </row>
    <row r="68" spans="4:78" ht="18" customHeight="1" thickBot="1" x14ac:dyDescent="0.25">
      <c r="D68" s="240"/>
      <c r="E68" s="242" t="s">
        <v>214</v>
      </c>
      <c r="F68" s="243" t="s">
        <v>282</v>
      </c>
      <c r="G68" s="244" t="s">
        <v>6</v>
      </c>
      <c r="H68" s="244">
        <v>90.64</v>
      </c>
      <c r="I68" s="245">
        <f>+$AR$153</f>
        <v>11383.8</v>
      </c>
      <c r="J68" s="245">
        <f t="shared" ref="J68" si="15">ROUND(I68*H68,2)</f>
        <v>1031827.63</v>
      </c>
      <c r="K68" s="246"/>
      <c r="L68" s="247">
        <f t="shared" si="14"/>
        <v>5.4213127571394243E-3</v>
      </c>
      <c r="M68" s="379">
        <f t="shared" si="3"/>
        <v>5.4213127571394243E-3</v>
      </c>
      <c r="P68" s="197" t="s">
        <v>37</v>
      </c>
      <c r="Q68" s="198"/>
      <c r="R68" s="199"/>
      <c r="S68" s="199"/>
      <c r="T68" s="200"/>
      <c r="U68" s="201"/>
      <c r="V68" s="153"/>
      <c r="W68" s="143"/>
      <c r="X68" s="197" t="s">
        <v>37</v>
      </c>
      <c r="Y68" s="198"/>
      <c r="Z68" s="199"/>
      <c r="AA68" s="199"/>
      <c r="AB68" s="200"/>
      <c r="AC68" s="201"/>
      <c r="AD68" s="153"/>
      <c r="AE68" s="174"/>
      <c r="AF68" s="183"/>
      <c r="AG68" s="184"/>
      <c r="AH68" s="185"/>
      <c r="AI68" s="185"/>
      <c r="AJ68" s="186"/>
      <c r="AL68" s="135"/>
      <c r="AM68" s="174"/>
      <c r="AN68" s="224" t="s">
        <v>56</v>
      </c>
      <c r="AO68" s="225" t="s">
        <v>55</v>
      </c>
      <c r="AP68" s="226">
        <v>1</v>
      </c>
      <c r="AQ68" s="226">
        <v>1354.6999999999998</v>
      </c>
      <c r="AR68" s="215">
        <f>+ROUND(AP68*AQ68,2)</f>
        <v>1354.7</v>
      </c>
      <c r="AS68" s="194"/>
      <c r="AT68" s="149"/>
      <c r="AU68" s="174"/>
      <c r="AV68" s="143"/>
      <c r="AW68" s="224" t="s">
        <v>50</v>
      </c>
      <c r="AX68" s="225" t="s">
        <v>28</v>
      </c>
      <c r="AY68" s="226">
        <v>0.03</v>
      </c>
      <c r="AZ68" s="219">
        <v>366615.08</v>
      </c>
      <c r="BA68" s="215">
        <f>+ROUND(AY68*AZ68,2)</f>
        <v>10998.45</v>
      </c>
      <c r="BB68" s="201"/>
      <c r="BC68" s="135"/>
      <c r="BD68" s="216" t="s">
        <v>330</v>
      </c>
      <c r="BE68" s="213" t="s">
        <v>28</v>
      </c>
      <c r="BF68" s="214">
        <v>1</v>
      </c>
      <c r="BG68" s="214">
        <v>24111.598700000002</v>
      </c>
      <c r="BH68" s="217">
        <f>ROUND((BG68*BF68),2)</f>
        <v>24111.599999999999</v>
      </c>
      <c r="BI68" s="201"/>
      <c r="BJ68" s="241"/>
      <c r="BK68" s="164"/>
      <c r="BL68" s="144"/>
      <c r="BM68" s="194"/>
      <c r="BN68" s="194"/>
      <c r="BO68" s="194"/>
      <c r="BP68" s="176"/>
      <c r="BQ68" s="147"/>
      <c r="BR68" s="176"/>
      <c r="BS68" s="176"/>
      <c r="BT68" s="176"/>
      <c r="BU68" s="176"/>
      <c r="BV68" s="176"/>
      <c r="BW68" s="176"/>
      <c r="BX68" s="176"/>
      <c r="BY68" s="176"/>
      <c r="BZ68" s="176"/>
    </row>
    <row r="69" spans="4:78" ht="18" customHeight="1" thickTop="1" x14ac:dyDescent="0.2">
      <c r="D69" s="240"/>
      <c r="E69" s="242" t="s">
        <v>215</v>
      </c>
      <c r="F69" s="243" t="s">
        <v>283</v>
      </c>
      <c r="G69" s="244" t="s">
        <v>6</v>
      </c>
      <c r="H69" s="244">
        <v>198.9</v>
      </c>
      <c r="I69" s="245">
        <f>+$AR$172</f>
        <v>13992.39</v>
      </c>
      <c r="J69" s="245">
        <f>ROUND(I69*H69,2)</f>
        <v>2783086.37</v>
      </c>
      <c r="K69" s="246"/>
      <c r="L69" s="247">
        <f t="shared" si="14"/>
        <v>1.4622579589094598E-2</v>
      </c>
      <c r="M69" s="379">
        <f t="shared" si="3"/>
        <v>1.4622579589094598E-2</v>
      </c>
      <c r="P69" s="216"/>
      <c r="Q69" s="213"/>
      <c r="R69" s="214"/>
      <c r="S69" s="214"/>
      <c r="T69" s="215">
        <f>+ROUND(R69*S69,2)</f>
        <v>0</v>
      </c>
      <c r="U69" s="201"/>
      <c r="V69" s="176"/>
      <c r="W69" s="143"/>
      <c r="X69" s="216" t="s">
        <v>358</v>
      </c>
      <c r="Y69" s="213" t="s">
        <v>68</v>
      </c>
      <c r="Z69" s="214">
        <v>1.1000000000000001</v>
      </c>
      <c r="AA69" s="214">
        <v>5472.3</v>
      </c>
      <c r="AB69" s="215">
        <f>+ROUND(Z69*AA69,2)</f>
        <v>6019.53</v>
      </c>
      <c r="AC69" s="201"/>
      <c r="AD69" s="176"/>
      <c r="AE69" s="174"/>
      <c r="AF69" s="191" t="s">
        <v>31</v>
      </c>
      <c r="AG69" s="192" t="s">
        <v>32</v>
      </c>
      <c r="AH69" s="192" t="s">
        <v>33</v>
      </c>
      <c r="AI69" s="192" t="s">
        <v>1</v>
      </c>
      <c r="AJ69" s="192" t="s">
        <v>34</v>
      </c>
      <c r="AK69" s="193" t="s">
        <v>76</v>
      </c>
      <c r="AL69" s="135"/>
      <c r="AM69" s="174"/>
      <c r="AN69" s="248"/>
      <c r="AO69" s="249"/>
      <c r="AP69" s="219"/>
      <c r="AQ69" s="219"/>
      <c r="AR69" s="215"/>
      <c r="AS69" s="194"/>
      <c r="AU69" s="174"/>
      <c r="AV69" s="143"/>
      <c r="AW69" s="232" t="s">
        <v>51</v>
      </c>
      <c r="AX69" s="233"/>
      <c r="AY69" s="234"/>
      <c r="AZ69" s="234"/>
      <c r="BA69" s="235">
        <f>SUM(BA66:BA68)</f>
        <v>377613.53</v>
      </c>
      <c r="BB69" s="235"/>
      <c r="BC69" s="135"/>
      <c r="BD69" s="224" t="s">
        <v>50</v>
      </c>
      <c r="BE69" s="225" t="s">
        <v>28</v>
      </c>
      <c r="BF69" s="226">
        <v>0.03</v>
      </c>
      <c r="BG69" s="226">
        <v>368563.00999999995</v>
      </c>
      <c r="BH69" s="217">
        <f>ROUND((BG69*BF69),2)</f>
        <v>11056.89</v>
      </c>
      <c r="BI69" s="201"/>
      <c r="BJ69" s="194"/>
      <c r="BK69" s="164"/>
      <c r="BL69" s="144"/>
      <c r="BM69" s="194"/>
      <c r="BN69" s="194"/>
      <c r="BO69" s="194"/>
      <c r="BP69" s="176"/>
      <c r="BQ69" s="189"/>
      <c r="BR69" s="176"/>
      <c r="BS69" s="176"/>
      <c r="BT69" s="176"/>
      <c r="BU69" s="176"/>
      <c r="BV69" s="176"/>
      <c r="BW69" s="176"/>
      <c r="BX69" s="176"/>
      <c r="BY69" s="176"/>
      <c r="BZ69" s="176"/>
    </row>
    <row r="70" spans="4:78" ht="18" customHeight="1" x14ac:dyDescent="0.2">
      <c r="D70" s="240"/>
      <c r="E70" s="242" t="s">
        <v>216</v>
      </c>
      <c r="F70" s="243" t="s">
        <v>285</v>
      </c>
      <c r="G70" s="244" t="s">
        <v>4</v>
      </c>
      <c r="H70" s="244">
        <v>180.8</v>
      </c>
      <c r="I70" s="245">
        <f>+$AR$191</f>
        <v>2542.6800000000003</v>
      </c>
      <c r="J70" s="245">
        <f t="shared" si="13"/>
        <v>459716.54</v>
      </c>
      <c r="K70" s="246"/>
      <c r="L70" s="247">
        <f t="shared" si="14"/>
        <v>2.4153909727829214E-3</v>
      </c>
      <c r="M70" s="379">
        <f t="shared" si="3"/>
        <v>2.4153909727829214E-3</v>
      </c>
      <c r="P70" s="224" t="s">
        <v>50</v>
      </c>
      <c r="Q70" s="225" t="s">
        <v>28</v>
      </c>
      <c r="R70" s="226">
        <v>0.03</v>
      </c>
      <c r="S70" s="219"/>
      <c r="T70" s="223">
        <f>+ROUND(R70*S70,2)</f>
        <v>0</v>
      </c>
      <c r="U70" s="201"/>
      <c r="V70" s="153"/>
      <c r="W70" s="143"/>
      <c r="X70" s="216" t="s">
        <v>274</v>
      </c>
      <c r="Y70" s="213" t="s">
        <v>28</v>
      </c>
      <c r="Z70" s="214">
        <v>1</v>
      </c>
      <c r="AA70" s="214">
        <v>180.58589999999998</v>
      </c>
      <c r="AB70" s="215">
        <f>+ROUND(Z70*AA70,2)</f>
        <v>180.59</v>
      </c>
      <c r="AC70" s="201"/>
      <c r="AD70" s="176"/>
      <c r="AE70" s="174"/>
      <c r="AF70" s="197" t="s">
        <v>37</v>
      </c>
      <c r="AG70" s="198"/>
      <c r="AH70" s="199"/>
      <c r="AI70" s="199"/>
      <c r="AJ70" s="200"/>
      <c r="AK70" s="201"/>
      <c r="AL70" s="135"/>
      <c r="AM70" s="174"/>
      <c r="AN70" s="232" t="s">
        <v>57</v>
      </c>
      <c r="AO70" s="233"/>
      <c r="AP70" s="234"/>
      <c r="AQ70" s="234"/>
      <c r="AR70" s="235">
        <f>SUM(AR67:AR69)</f>
        <v>2955.5</v>
      </c>
      <c r="AU70" s="174"/>
      <c r="AV70" s="143"/>
      <c r="AW70" s="197" t="s">
        <v>53</v>
      </c>
      <c r="AX70" s="198"/>
      <c r="AY70" s="199"/>
      <c r="AZ70" s="199"/>
      <c r="BA70" s="200"/>
      <c r="BB70" s="153"/>
      <c r="BC70" s="135"/>
      <c r="BD70" s="232" t="s">
        <v>51</v>
      </c>
      <c r="BE70" s="233"/>
      <c r="BF70" s="234"/>
      <c r="BG70" s="234"/>
      <c r="BH70" s="235">
        <f>SUM(BH67:BH69)</f>
        <v>379619.89999999997</v>
      </c>
      <c r="BI70" s="235"/>
      <c r="BJ70" s="194"/>
      <c r="BK70" s="164"/>
      <c r="BL70" s="144"/>
      <c r="BM70" s="194"/>
      <c r="BN70" s="194"/>
      <c r="BO70" s="194"/>
      <c r="BP70" s="176"/>
      <c r="BQ70" s="189"/>
      <c r="BR70" s="176"/>
      <c r="BS70" s="176"/>
      <c r="BT70" s="176"/>
      <c r="BU70" s="176"/>
      <c r="BV70" s="176"/>
      <c r="BW70" s="176"/>
      <c r="BX70" s="176"/>
      <c r="BY70" s="176"/>
      <c r="BZ70" s="176"/>
    </row>
    <row r="71" spans="4:78" ht="18" customHeight="1" x14ac:dyDescent="0.2">
      <c r="D71" s="240"/>
      <c r="E71" s="242" t="s">
        <v>217</v>
      </c>
      <c r="F71" s="243" t="s">
        <v>284</v>
      </c>
      <c r="G71" s="244" t="s">
        <v>6</v>
      </c>
      <c r="H71" s="244">
        <v>165.006</v>
      </c>
      <c r="I71" s="245">
        <f>+$AR$210</f>
        <v>6332.76</v>
      </c>
      <c r="J71" s="245">
        <f t="shared" ref="J71" si="16">ROUND(I71*H71,2)</f>
        <v>1044943.4</v>
      </c>
      <c r="K71" s="246"/>
      <c r="L71" s="247">
        <f t="shared" si="14"/>
        <v>5.4902241616738299E-3</v>
      </c>
      <c r="M71" s="379">
        <f t="shared" si="3"/>
        <v>5.4902241616738299E-3</v>
      </c>
      <c r="P71" s="232" t="s">
        <v>51</v>
      </c>
      <c r="Q71" s="233"/>
      <c r="R71" s="234"/>
      <c r="S71" s="234"/>
      <c r="T71" s="235">
        <f>SUM(T69:T70)</f>
        <v>0</v>
      </c>
      <c r="U71" s="235"/>
      <c r="V71" s="194"/>
      <c r="W71" s="143"/>
      <c r="X71" s="224" t="s">
        <v>50</v>
      </c>
      <c r="Y71" s="225" t="s">
        <v>28</v>
      </c>
      <c r="Z71" s="226">
        <v>0.03</v>
      </c>
      <c r="AA71" s="219">
        <v>6200.12</v>
      </c>
      <c r="AB71" s="223">
        <f>+ROUND(Z71*AA71,2)</f>
        <v>186</v>
      </c>
      <c r="AC71" s="201"/>
      <c r="AD71" s="153"/>
      <c r="AE71" s="174"/>
      <c r="AF71" s="216" t="s">
        <v>223</v>
      </c>
      <c r="AG71" s="213" t="s">
        <v>39</v>
      </c>
      <c r="AH71" s="214">
        <v>0.5</v>
      </c>
      <c r="AI71" s="132">
        <v>26.528938000000004</v>
      </c>
      <c r="AJ71" s="215">
        <f>+ROUND(AH71*AI71,2)</f>
        <v>13.26</v>
      </c>
      <c r="AK71" s="201"/>
      <c r="AL71" s="135"/>
      <c r="AM71" s="174"/>
      <c r="AN71" s="197" t="s">
        <v>58</v>
      </c>
      <c r="AO71" s="198"/>
      <c r="AP71" s="199"/>
      <c r="AQ71" s="199"/>
      <c r="AR71" s="200"/>
      <c r="AS71" s="153"/>
      <c r="AU71" s="174"/>
      <c r="AV71" s="143"/>
      <c r="AW71" s="224" t="s">
        <v>54</v>
      </c>
      <c r="AX71" s="225" t="s">
        <v>55</v>
      </c>
      <c r="AY71" s="226">
        <v>4</v>
      </c>
      <c r="AZ71" s="226">
        <v>1600.8</v>
      </c>
      <c r="BA71" s="215">
        <f>+ROUND(AY71*AZ71,2)</f>
        <v>6403.2</v>
      </c>
      <c r="BB71" s="194"/>
      <c r="BC71" s="135"/>
      <c r="BD71" s="197" t="s">
        <v>53</v>
      </c>
      <c r="BE71" s="198"/>
      <c r="BF71" s="199"/>
      <c r="BG71" s="199"/>
      <c r="BH71" s="200"/>
      <c r="BI71" s="153"/>
      <c r="BJ71" s="194"/>
      <c r="BK71" s="164"/>
      <c r="BL71" s="144"/>
      <c r="BM71" s="194"/>
      <c r="BN71" s="194"/>
      <c r="BO71" s="194"/>
      <c r="BP71" s="176"/>
      <c r="BQ71" s="189"/>
      <c r="BR71" s="176"/>
      <c r="BS71" s="176"/>
      <c r="BT71" s="176"/>
      <c r="BU71" s="176"/>
      <c r="BV71" s="176"/>
      <c r="BW71" s="176"/>
      <c r="BX71" s="176"/>
      <c r="BY71" s="176"/>
      <c r="BZ71" s="176"/>
    </row>
    <row r="72" spans="4:78" ht="18" customHeight="1" x14ac:dyDescent="0.2">
      <c r="D72" s="149"/>
      <c r="E72" s="395">
        <v>13</v>
      </c>
      <c r="F72" s="396" t="s">
        <v>106</v>
      </c>
      <c r="G72" s="397"/>
      <c r="H72" s="398"/>
      <c r="I72" s="398"/>
      <c r="J72" s="398"/>
      <c r="K72" s="399">
        <f>SUM(J73:J89)</f>
        <v>13860404.730000002</v>
      </c>
      <c r="L72" s="400">
        <f>+K72/$K$120</f>
        <v>7.2823780636562946E-2</v>
      </c>
      <c r="M72" s="379"/>
      <c r="P72" s="197" t="s">
        <v>53</v>
      </c>
      <c r="Q72" s="198"/>
      <c r="R72" s="199"/>
      <c r="S72" s="199"/>
      <c r="T72" s="200"/>
      <c r="U72" s="153"/>
      <c r="V72" s="194"/>
      <c r="W72" s="143"/>
      <c r="X72" s="232" t="s">
        <v>51</v>
      </c>
      <c r="Y72" s="233"/>
      <c r="Z72" s="234"/>
      <c r="AA72" s="234"/>
      <c r="AB72" s="235">
        <f>SUM(AB69:AB71)</f>
        <v>6386.12</v>
      </c>
      <c r="AC72" s="235"/>
      <c r="AD72" s="194"/>
      <c r="AE72" s="174"/>
      <c r="AF72" s="216" t="s">
        <v>45</v>
      </c>
      <c r="AG72" s="213" t="s">
        <v>15</v>
      </c>
      <c r="AH72" s="214">
        <v>6.0000000000000001E-3</v>
      </c>
      <c r="AI72" s="132">
        <v>2066.1157024793388</v>
      </c>
      <c r="AJ72" s="215">
        <f t="shared" ref="AJ72:AJ74" si="17">+ROUND(AH72*AI72,2)</f>
        <v>12.4</v>
      </c>
      <c r="AK72" s="201"/>
      <c r="AL72" s="135"/>
      <c r="AM72" s="174"/>
      <c r="AN72" s="252" t="s">
        <v>59</v>
      </c>
      <c r="AO72" s="213" t="s">
        <v>60</v>
      </c>
      <c r="AP72" s="226">
        <v>40</v>
      </c>
      <c r="AQ72" s="226">
        <v>1.9600688000000004</v>
      </c>
      <c r="AR72" s="215">
        <f>+ROUND(AP72*AQ72,2)</f>
        <v>78.400000000000006</v>
      </c>
      <c r="AS72" s="194"/>
      <c r="AU72" s="174"/>
      <c r="AV72" s="143"/>
      <c r="AW72" s="224" t="s">
        <v>56</v>
      </c>
      <c r="AX72" s="225" t="s">
        <v>55</v>
      </c>
      <c r="AY72" s="226">
        <v>4</v>
      </c>
      <c r="AZ72" s="226">
        <v>1354.6999999999998</v>
      </c>
      <c r="BA72" s="215">
        <f>+ROUND(AY72*AZ72,2)</f>
        <v>5418.8</v>
      </c>
      <c r="BB72" s="194"/>
      <c r="BC72" s="135"/>
      <c r="BD72" s="224" t="s">
        <v>54</v>
      </c>
      <c r="BE72" s="225" t="s">
        <v>55</v>
      </c>
      <c r="BF72" s="226">
        <v>40</v>
      </c>
      <c r="BG72" s="226">
        <v>1600.8</v>
      </c>
      <c r="BH72" s="215">
        <f>+ROUND(BF72*BG72,2)</f>
        <v>64032</v>
      </c>
      <c r="BI72" s="194"/>
      <c r="BJ72" s="194"/>
      <c r="BK72" s="164"/>
      <c r="BL72" s="144"/>
      <c r="BM72" s="194"/>
      <c r="BN72" s="194"/>
      <c r="BO72" s="194"/>
      <c r="BP72" s="176"/>
      <c r="BQ72" s="189"/>
      <c r="BR72" s="176"/>
      <c r="BS72" s="176"/>
      <c r="BT72" s="176"/>
      <c r="BU72" s="176"/>
      <c r="BV72" s="176"/>
      <c r="BW72" s="176"/>
      <c r="BX72" s="176"/>
      <c r="BY72" s="176"/>
      <c r="BZ72" s="176"/>
    </row>
    <row r="73" spans="4:78" ht="18" customHeight="1" x14ac:dyDescent="0.2">
      <c r="D73" s="149"/>
      <c r="E73" s="242" t="s">
        <v>147</v>
      </c>
      <c r="F73" s="243" t="s">
        <v>319</v>
      </c>
      <c r="G73" s="244" t="s">
        <v>20</v>
      </c>
      <c r="H73" s="244">
        <v>3</v>
      </c>
      <c r="I73" s="245">
        <f>+$AR$229</f>
        <v>456665.88</v>
      </c>
      <c r="J73" s="245">
        <f t="shared" ref="J73:J88" si="18">ROUND(I73*H73,2)</f>
        <v>1369997.64</v>
      </c>
      <c r="K73" s="246"/>
      <c r="L73" s="247">
        <f t="shared" ref="L73:L88" si="19">+J73/$K$120</f>
        <v>7.1980876137062774E-3</v>
      </c>
      <c r="M73" s="379">
        <f t="shared" si="3"/>
        <v>7.1980876137062774E-3</v>
      </c>
      <c r="P73" s="224" t="s">
        <v>54</v>
      </c>
      <c r="Q73" s="225" t="s">
        <v>55</v>
      </c>
      <c r="R73" s="226">
        <v>1</v>
      </c>
      <c r="S73" s="226">
        <v>1600.8</v>
      </c>
      <c r="T73" s="215">
        <f>+ROUND(R73*S73,2)</f>
        <v>1600.8</v>
      </c>
      <c r="U73" s="194"/>
      <c r="V73" s="194"/>
      <c r="W73" s="143"/>
      <c r="X73" s="197" t="s">
        <v>53</v>
      </c>
      <c r="Y73" s="198"/>
      <c r="Z73" s="199"/>
      <c r="AA73" s="199"/>
      <c r="AB73" s="200"/>
      <c r="AC73" s="241"/>
      <c r="AD73" s="194"/>
      <c r="AE73" s="174"/>
      <c r="AF73" s="216" t="s">
        <v>205</v>
      </c>
      <c r="AG73" s="213" t="s">
        <v>39</v>
      </c>
      <c r="AH73" s="214">
        <v>0.4662</v>
      </c>
      <c r="AI73" s="132">
        <v>27.236208000000001</v>
      </c>
      <c r="AJ73" s="215">
        <f t="shared" si="17"/>
        <v>12.7</v>
      </c>
      <c r="AK73" s="201"/>
      <c r="AL73" s="135"/>
      <c r="AM73" s="174"/>
      <c r="AN73" s="202" t="s">
        <v>62</v>
      </c>
      <c r="AO73" s="250"/>
      <c r="AP73" s="168"/>
      <c r="AQ73" s="168"/>
      <c r="AR73" s="251">
        <f>SUM(AR72:AR72)</f>
        <v>78.400000000000006</v>
      </c>
      <c r="AS73" s="194"/>
      <c r="AU73" s="174"/>
      <c r="AV73" s="143"/>
      <c r="AW73" s="248"/>
      <c r="AX73" s="249"/>
      <c r="AY73" s="219"/>
      <c r="AZ73" s="219"/>
      <c r="BA73" s="215"/>
      <c r="BB73" s="194"/>
      <c r="BC73" s="135"/>
      <c r="BD73" s="224" t="s">
        <v>56</v>
      </c>
      <c r="BE73" s="225" t="s">
        <v>55</v>
      </c>
      <c r="BF73" s="226">
        <v>40</v>
      </c>
      <c r="BG73" s="226">
        <v>1354.6999999999998</v>
      </c>
      <c r="BH73" s="215">
        <f>+ROUND(BF73*BG73,2)</f>
        <v>54188</v>
      </c>
      <c r="BI73" s="194"/>
      <c r="BK73" s="164"/>
      <c r="BL73" s="144"/>
      <c r="BM73" s="194"/>
      <c r="BN73" s="194"/>
      <c r="BO73" s="194"/>
      <c r="BP73" s="176"/>
      <c r="BQ73" s="189"/>
      <c r="BR73" s="176"/>
      <c r="BS73" s="176"/>
      <c r="BT73" s="176"/>
      <c r="BU73" s="176"/>
      <c r="BV73" s="176"/>
      <c r="BW73" s="176"/>
      <c r="BX73" s="176"/>
      <c r="BY73" s="176"/>
      <c r="BZ73" s="176"/>
    </row>
    <row r="74" spans="4:78" ht="18" customHeight="1" x14ac:dyDescent="0.2">
      <c r="D74" s="149"/>
      <c r="E74" s="242" t="s">
        <v>148</v>
      </c>
      <c r="F74" s="243" t="s">
        <v>318</v>
      </c>
      <c r="G74" s="244" t="s">
        <v>20</v>
      </c>
      <c r="H74" s="244">
        <v>3</v>
      </c>
      <c r="I74" s="245">
        <f>+$AR$248</f>
        <v>134218.67000000001</v>
      </c>
      <c r="J74" s="245">
        <f t="shared" si="18"/>
        <v>402656.01</v>
      </c>
      <c r="K74" s="246"/>
      <c r="L74" s="247">
        <f t="shared" si="19"/>
        <v>2.1155899496041403E-3</v>
      </c>
      <c r="M74" s="379">
        <f t="shared" si="3"/>
        <v>2.1155899496041403E-3</v>
      </c>
      <c r="P74" s="224" t="s">
        <v>56</v>
      </c>
      <c r="Q74" s="225" t="s">
        <v>55</v>
      </c>
      <c r="R74" s="226">
        <v>1</v>
      </c>
      <c r="S74" s="226">
        <v>1354.6999999999998</v>
      </c>
      <c r="T74" s="215">
        <f>+ROUND(R74*S74,2)</f>
        <v>1354.7</v>
      </c>
      <c r="U74" s="194"/>
      <c r="V74" s="194"/>
      <c r="W74" s="143"/>
      <c r="X74" s="224" t="s">
        <v>54</v>
      </c>
      <c r="Y74" s="225" t="s">
        <v>55</v>
      </c>
      <c r="Z74" s="226">
        <v>0.5</v>
      </c>
      <c r="AA74" s="226">
        <v>1600.8</v>
      </c>
      <c r="AB74" s="215">
        <f>+ROUND(Z74*AA74,2)</f>
        <v>800.4</v>
      </c>
      <c r="AC74" s="194"/>
      <c r="AD74" s="194"/>
      <c r="AE74" s="174"/>
      <c r="AF74" s="224" t="s">
        <v>50</v>
      </c>
      <c r="AG74" s="225" t="s">
        <v>28</v>
      </c>
      <c r="AH74" s="226">
        <v>0.03</v>
      </c>
      <c r="AI74" s="219">
        <v>38.36</v>
      </c>
      <c r="AJ74" s="215">
        <f t="shared" si="17"/>
        <v>1.1499999999999999</v>
      </c>
      <c r="AK74" s="201"/>
      <c r="AL74" s="135"/>
      <c r="AM74" s="174"/>
      <c r="AN74" s="253" t="s">
        <v>63</v>
      </c>
      <c r="AO74" s="233"/>
      <c r="AP74" s="254" t="s">
        <v>64</v>
      </c>
      <c r="AQ74" s="255"/>
      <c r="AR74" s="256">
        <f>+AR65+AR70+AR73</f>
        <v>9851.0500000000011</v>
      </c>
      <c r="AS74" s="194"/>
      <c r="AU74" s="174"/>
      <c r="AV74" s="143"/>
      <c r="AW74" s="232" t="s">
        <v>57</v>
      </c>
      <c r="AX74" s="233"/>
      <c r="AY74" s="234"/>
      <c r="AZ74" s="234"/>
      <c r="BA74" s="235">
        <f>SUM(BA71:BA73)</f>
        <v>11822</v>
      </c>
      <c r="BC74" s="135"/>
      <c r="BD74" s="248"/>
      <c r="BE74" s="249"/>
      <c r="BF74" s="219"/>
      <c r="BG74" s="219"/>
      <c r="BH74" s="215"/>
      <c r="BI74" s="194"/>
      <c r="BK74" s="164"/>
      <c r="BL74" s="144"/>
      <c r="BM74" s="194"/>
      <c r="BN74" s="194"/>
      <c r="BO74" s="194"/>
      <c r="BP74" s="176"/>
      <c r="BQ74" s="147"/>
      <c r="BR74" s="176"/>
      <c r="BS74" s="176"/>
      <c r="BT74" s="176"/>
      <c r="BU74" s="176"/>
      <c r="BV74" s="176"/>
      <c r="BW74" s="176"/>
      <c r="BX74" s="176"/>
      <c r="BY74" s="176"/>
      <c r="BZ74" s="176"/>
    </row>
    <row r="75" spans="4:78" ht="18" customHeight="1" x14ac:dyDescent="0.2">
      <c r="D75" s="149"/>
      <c r="E75" s="242" t="s">
        <v>169</v>
      </c>
      <c r="F75" s="243" t="s">
        <v>320</v>
      </c>
      <c r="G75" s="244" t="s">
        <v>20</v>
      </c>
      <c r="H75" s="244">
        <v>2</v>
      </c>
      <c r="I75" s="245">
        <f>+$AR$267</f>
        <v>231278.63999999998</v>
      </c>
      <c r="J75" s="245">
        <f t="shared" si="18"/>
        <v>462557.28</v>
      </c>
      <c r="K75" s="246"/>
      <c r="L75" s="247">
        <f t="shared" si="19"/>
        <v>2.4303164695945513E-3</v>
      </c>
      <c r="M75" s="379">
        <f t="shared" si="3"/>
        <v>2.4303164695945513E-3</v>
      </c>
      <c r="P75" s="248"/>
      <c r="Q75" s="249"/>
      <c r="R75" s="219"/>
      <c r="S75" s="219"/>
      <c r="T75" s="215"/>
      <c r="U75" s="194"/>
      <c r="W75" s="143"/>
      <c r="X75" s="224" t="s">
        <v>56</v>
      </c>
      <c r="Y75" s="225" t="s">
        <v>55</v>
      </c>
      <c r="Z75" s="226">
        <v>0.5</v>
      </c>
      <c r="AA75" s="226">
        <v>1354.6999999999998</v>
      </c>
      <c r="AB75" s="215">
        <f>+ROUND(Z75*AA75,2)</f>
        <v>677.35</v>
      </c>
      <c r="AC75" s="194"/>
      <c r="AD75" s="194"/>
      <c r="AE75" s="174"/>
      <c r="AF75" s="232" t="s">
        <v>51</v>
      </c>
      <c r="AG75" s="233"/>
      <c r="AH75" s="234"/>
      <c r="AI75" s="234"/>
      <c r="AJ75" s="235">
        <f>SUM(AJ71:AJ74)</f>
        <v>39.51</v>
      </c>
      <c r="AK75" s="235"/>
      <c r="AL75" s="135"/>
      <c r="AM75" s="174"/>
      <c r="AN75" s="152"/>
      <c r="AO75" s="153"/>
      <c r="AP75" s="145"/>
      <c r="AQ75" s="145"/>
      <c r="AR75" s="145"/>
      <c r="AS75" s="154"/>
      <c r="AT75" s="145"/>
      <c r="AU75" s="174"/>
      <c r="AV75" s="143"/>
      <c r="AW75" s="197" t="s">
        <v>58</v>
      </c>
      <c r="AX75" s="198"/>
      <c r="AY75" s="199"/>
      <c r="AZ75" s="199"/>
      <c r="BA75" s="200"/>
      <c r="BB75" s="153"/>
      <c r="BC75" s="135"/>
      <c r="BD75" s="232" t="s">
        <v>57</v>
      </c>
      <c r="BE75" s="233"/>
      <c r="BF75" s="234"/>
      <c r="BG75" s="234"/>
      <c r="BH75" s="235">
        <f>SUM(BH72:BH74)</f>
        <v>118220</v>
      </c>
      <c r="BI75" s="138">
        <f>+BH75/BH70</f>
        <v>0.31141676187154577</v>
      </c>
      <c r="BJ75" s="149"/>
      <c r="BK75" s="164"/>
      <c r="BL75" s="144"/>
      <c r="BM75" s="194"/>
      <c r="BN75" s="194"/>
      <c r="BO75" s="194"/>
      <c r="BP75" s="176"/>
      <c r="BQ75" s="147"/>
      <c r="BR75" s="176"/>
      <c r="BS75" s="176"/>
      <c r="BT75" s="176"/>
      <c r="BU75" s="176"/>
      <c r="BV75" s="176"/>
      <c r="BW75" s="176"/>
      <c r="BX75" s="176"/>
      <c r="BY75" s="176"/>
      <c r="BZ75" s="176"/>
    </row>
    <row r="76" spans="4:78" ht="18" customHeight="1" x14ac:dyDescent="0.2">
      <c r="D76" s="149"/>
      <c r="E76" s="242" t="s">
        <v>170</v>
      </c>
      <c r="F76" s="243" t="s">
        <v>321</v>
      </c>
      <c r="G76" s="244" t="s">
        <v>20</v>
      </c>
      <c r="H76" s="244">
        <v>4</v>
      </c>
      <c r="I76" s="245">
        <f>+$AR$286</f>
        <v>129829.22</v>
      </c>
      <c r="J76" s="245">
        <f t="shared" si="18"/>
        <v>519316.88</v>
      </c>
      <c r="K76" s="246"/>
      <c r="L76" s="247">
        <f t="shared" si="19"/>
        <v>2.7285363801915672E-3</v>
      </c>
      <c r="M76" s="379">
        <f t="shared" ref="M76:M119" si="20">+L76</f>
        <v>2.7285363801915672E-3</v>
      </c>
      <c r="P76" s="232" t="s">
        <v>57</v>
      </c>
      <c r="Q76" s="233"/>
      <c r="R76" s="234"/>
      <c r="S76" s="234"/>
      <c r="T76" s="235">
        <f>SUM(T73:T75)</f>
        <v>2955.5</v>
      </c>
      <c r="V76" s="149"/>
      <c r="W76" s="143"/>
      <c r="X76" s="248"/>
      <c r="Y76" s="249"/>
      <c r="Z76" s="219"/>
      <c r="AA76" s="219"/>
      <c r="AB76" s="215"/>
      <c r="AC76" s="194"/>
      <c r="AE76" s="174"/>
      <c r="AF76" s="197" t="s">
        <v>53</v>
      </c>
      <c r="AG76" s="198"/>
      <c r="AH76" s="199"/>
      <c r="AI76" s="199"/>
      <c r="AJ76" s="200"/>
      <c r="AK76" s="241">
        <f>+AJ71*AK67</f>
        <v>700.12800000000004</v>
      </c>
      <c r="AL76" s="135"/>
      <c r="AM76" s="174"/>
      <c r="AN76" s="155" t="s">
        <v>391</v>
      </c>
      <c r="AO76" s="169"/>
      <c r="AP76" s="172"/>
      <c r="AQ76" s="172"/>
      <c r="AR76" s="173"/>
      <c r="AS76" s="154"/>
      <c r="AT76" s="135"/>
      <c r="AU76" s="174"/>
      <c r="AV76" s="143"/>
      <c r="AW76" s="252" t="s">
        <v>59</v>
      </c>
      <c r="AX76" s="213" t="s">
        <v>60</v>
      </c>
      <c r="AY76" s="226">
        <v>120</v>
      </c>
      <c r="AZ76" s="226">
        <v>1.9600688000000004</v>
      </c>
      <c r="BA76" s="215">
        <f>+ROUND(AY76*AZ76,2)</f>
        <v>235.21</v>
      </c>
      <c r="BB76" s="194"/>
      <c r="BC76" s="135"/>
      <c r="BD76" s="197" t="s">
        <v>58</v>
      </c>
      <c r="BE76" s="198"/>
      <c r="BF76" s="199"/>
      <c r="BG76" s="199"/>
      <c r="BH76" s="200"/>
      <c r="BI76" s="153"/>
      <c r="BK76" s="164"/>
      <c r="BL76" s="144"/>
      <c r="BM76" s="194"/>
      <c r="BN76" s="194"/>
      <c r="BO76" s="194"/>
      <c r="BP76" s="176"/>
      <c r="BQ76" s="147"/>
      <c r="BR76" s="176"/>
      <c r="BS76" s="176"/>
      <c r="BT76" s="176"/>
      <c r="BU76" s="176"/>
      <c r="BV76" s="176"/>
      <c r="BW76" s="176"/>
      <c r="BX76" s="176"/>
      <c r="BY76" s="176"/>
      <c r="BZ76" s="176"/>
    </row>
    <row r="77" spans="4:78" ht="18" customHeight="1" x14ac:dyDescent="0.2">
      <c r="D77" s="149"/>
      <c r="E77" s="242" t="s">
        <v>171</v>
      </c>
      <c r="F77" s="243" t="s">
        <v>310</v>
      </c>
      <c r="G77" s="244" t="s">
        <v>20</v>
      </c>
      <c r="H77" s="244">
        <v>1</v>
      </c>
      <c r="I77" s="245">
        <f>+$AR$305</f>
        <v>1200547.3199999998</v>
      </c>
      <c r="J77" s="245">
        <f t="shared" si="18"/>
        <v>1200547.32</v>
      </c>
      <c r="K77" s="246"/>
      <c r="L77" s="247">
        <f t="shared" si="19"/>
        <v>6.3077807884108971E-3</v>
      </c>
      <c r="M77" s="379">
        <f t="shared" si="20"/>
        <v>6.3077807884108971E-3</v>
      </c>
      <c r="P77" s="197" t="s">
        <v>58</v>
      </c>
      <c r="Q77" s="198"/>
      <c r="R77" s="199"/>
      <c r="S77" s="199"/>
      <c r="T77" s="200"/>
      <c r="U77" s="153"/>
      <c r="W77" s="143"/>
      <c r="X77" s="232" t="s">
        <v>57</v>
      </c>
      <c r="Y77" s="233"/>
      <c r="Z77" s="234"/>
      <c r="AA77" s="234"/>
      <c r="AB77" s="235">
        <f>SUM(AB74:AB76)</f>
        <v>1477.75</v>
      </c>
      <c r="AC77" s="138">
        <f>+AB77/AB72</f>
        <v>0.231400286872154</v>
      </c>
      <c r="AD77" s="149"/>
      <c r="AE77" s="174"/>
      <c r="AF77" s="224" t="s">
        <v>54</v>
      </c>
      <c r="AG77" s="225" t="s">
        <v>55</v>
      </c>
      <c r="AH77" s="226">
        <v>0.1</v>
      </c>
      <c r="AI77" s="226">
        <v>1600.8</v>
      </c>
      <c r="AJ77" s="215">
        <f>+ROUND(AH77*AI77,2)</f>
        <v>160.08000000000001</v>
      </c>
      <c r="AK77" s="194"/>
      <c r="AL77" s="135"/>
      <c r="AM77" s="174"/>
      <c r="AN77" s="177" t="s">
        <v>392</v>
      </c>
      <c r="AO77" s="150"/>
      <c r="AP77" s="178"/>
      <c r="AQ77" s="149"/>
      <c r="AR77" s="179" t="str">
        <f>$G$65</f>
        <v>m2</v>
      </c>
      <c r="AS77" s="180">
        <f>$H$65</f>
        <v>87.446899999999999</v>
      </c>
      <c r="AT77" s="135"/>
      <c r="AU77" s="174"/>
      <c r="AV77" s="143"/>
      <c r="AW77" s="202" t="s">
        <v>62</v>
      </c>
      <c r="AX77" s="250"/>
      <c r="AY77" s="168"/>
      <c r="AZ77" s="168"/>
      <c r="BA77" s="251">
        <f>SUM(BA76:BA76)</f>
        <v>235.21</v>
      </c>
      <c r="BB77" s="194"/>
      <c r="BC77" s="135"/>
      <c r="BD77" s="252" t="s">
        <v>59</v>
      </c>
      <c r="BE77" s="213" t="s">
        <v>60</v>
      </c>
      <c r="BF77" s="226">
        <v>550</v>
      </c>
      <c r="BG77" s="226">
        <v>1.9600688000000004</v>
      </c>
      <c r="BH77" s="215">
        <f>+ROUND(BF77*BG77,2)</f>
        <v>1078.04</v>
      </c>
      <c r="BI77" s="194"/>
      <c r="BK77" s="164"/>
      <c r="BL77" s="144"/>
      <c r="BM77" s="194"/>
      <c r="BN77" s="194"/>
      <c r="BO77" s="194"/>
      <c r="BP77" s="176"/>
      <c r="BQ77" s="147"/>
      <c r="BR77" s="176"/>
      <c r="BS77" s="176"/>
      <c r="BT77" s="176"/>
      <c r="BU77" s="176"/>
      <c r="BV77" s="176"/>
      <c r="BW77" s="176"/>
      <c r="BX77" s="176"/>
      <c r="BY77" s="176"/>
      <c r="BZ77" s="176"/>
    </row>
    <row r="78" spans="4:78" ht="18" customHeight="1" thickBot="1" x14ac:dyDescent="0.25">
      <c r="D78" s="149"/>
      <c r="E78" s="242" t="s">
        <v>172</v>
      </c>
      <c r="F78" s="243" t="s">
        <v>309</v>
      </c>
      <c r="G78" s="244" t="s">
        <v>20</v>
      </c>
      <c r="H78" s="244">
        <v>1</v>
      </c>
      <c r="I78" s="245">
        <f>+$AR$324</f>
        <v>1495008.2300000002</v>
      </c>
      <c r="J78" s="245">
        <f t="shared" si="18"/>
        <v>1495008.23</v>
      </c>
      <c r="K78" s="246"/>
      <c r="L78" s="247">
        <f t="shared" si="19"/>
        <v>7.8549042046174231E-3</v>
      </c>
      <c r="M78" s="379">
        <f t="shared" si="20"/>
        <v>7.8549042046174231E-3</v>
      </c>
      <c r="P78" s="252" t="s">
        <v>59</v>
      </c>
      <c r="Q78" s="213" t="s">
        <v>60</v>
      </c>
      <c r="R78" s="226">
        <v>110</v>
      </c>
      <c r="S78" s="226">
        <v>1.9600688000000004</v>
      </c>
      <c r="T78" s="215">
        <f>+ROUND(R78*S78,2)</f>
        <v>215.61</v>
      </c>
      <c r="U78" s="194"/>
      <c r="X78" s="197" t="s">
        <v>58</v>
      </c>
      <c r="Y78" s="198"/>
      <c r="Z78" s="199"/>
      <c r="AA78" s="199"/>
      <c r="AB78" s="200"/>
      <c r="AC78" s="153"/>
      <c r="AE78" s="174"/>
      <c r="AF78" s="224" t="s">
        <v>56</v>
      </c>
      <c r="AG78" s="225" t="s">
        <v>55</v>
      </c>
      <c r="AH78" s="226">
        <v>0.1</v>
      </c>
      <c r="AI78" s="226">
        <v>1354.6999999999998</v>
      </c>
      <c r="AJ78" s="215">
        <f>+ROUND(AH78*AI78,2)</f>
        <v>135.47</v>
      </c>
      <c r="AK78" s="194"/>
      <c r="AL78" s="135"/>
      <c r="AM78" s="174"/>
      <c r="AN78" s="183"/>
      <c r="AO78" s="184"/>
      <c r="AP78" s="185"/>
      <c r="AQ78" s="185"/>
      <c r="AR78" s="186"/>
      <c r="AT78" s="135"/>
      <c r="AU78" s="174"/>
      <c r="AV78" s="143"/>
      <c r="AW78" s="253" t="s">
        <v>63</v>
      </c>
      <c r="AX78" s="233"/>
      <c r="AY78" s="254" t="s">
        <v>64</v>
      </c>
      <c r="AZ78" s="255"/>
      <c r="BA78" s="256">
        <f>+BA69+BA74+BA77</f>
        <v>389670.74000000005</v>
      </c>
      <c r="BB78" s="194"/>
      <c r="BC78" s="135"/>
      <c r="BD78" s="202" t="s">
        <v>62</v>
      </c>
      <c r="BE78" s="250"/>
      <c r="BF78" s="168"/>
      <c r="BG78" s="168"/>
      <c r="BH78" s="251">
        <f>SUM(BH77:BH77)</f>
        <v>1078.04</v>
      </c>
      <c r="BI78" s="194"/>
      <c r="BJ78" s="135"/>
      <c r="BK78" s="164"/>
      <c r="BL78" s="144"/>
      <c r="BM78" s="194"/>
      <c r="BN78" s="194"/>
      <c r="BO78" s="194"/>
      <c r="BP78" s="176"/>
      <c r="BQ78" s="147"/>
      <c r="BR78" s="176"/>
      <c r="BS78" s="176"/>
      <c r="BT78" s="176"/>
      <c r="BU78" s="176"/>
      <c r="BV78" s="176"/>
      <c r="BW78" s="176"/>
      <c r="BX78" s="176"/>
      <c r="BY78" s="176"/>
      <c r="BZ78" s="176"/>
    </row>
    <row r="79" spans="4:78" ht="18" customHeight="1" thickTop="1" x14ac:dyDescent="0.2">
      <c r="D79" s="149"/>
      <c r="E79" s="242" t="s">
        <v>173</v>
      </c>
      <c r="F79" s="243" t="s">
        <v>307</v>
      </c>
      <c r="G79" s="244" t="s">
        <v>20</v>
      </c>
      <c r="H79" s="244">
        <v>4</v>
      </c>
      <c r="I79" s="245">
        <f>+$AR$343</f>
        <v>336855.05</v>
      </c>
      <c r="J79" s="245">
        <f t="shared" si="18"/>
        <v>1347420.2</v>
      </c>
      <c r="K79" s="246"/>
      <c r="L79" s="247">
        <f t="shared" si="19"/>
        <v>7.0794637661402366E-3</v>
      </c>
      <c r="M79" s="379">
        <f t="shared" si="20"/>
        <v>7.0794637661402366E-3</v>
      </c>
      <c r="P79" s="202" t="s">
        <v>62</v>
      </c>
      <c r="Q79" s="250"/>
      <c r="R79" s="168"/>
      <c r="S79" s="168"/>
      <c r="T79" s="251">
        <f>SUM(T78:T78)</f>
        <v>215.61</v>
      </c>
      <c r="U79" s="194"/>
      <c r="V79" s="135"/>
      <c r="X79" s="252" t="s">
        <v>59</v>
      </c>
      <c r="Y79" s="213" t="s">
        <v>60</v>
      </c>
      <c r="Z79" s="226">
        <v>29.1</v>
      </c>
      <c r="AA79" s="226">
        <v>1.9600688000000004</v>
      </c>
      <c r="AB79" s="215">
        <f>+ROUND(Z79*AA79,2)</f>
        <v>57.04</v>
      </c>
      <c r="AC79" s="194"/>
      <c r="AE79" s="174"/>
      <c r="AF79" s="248"/>
      <c r="AG79" s="249"/>
      <c r="AH79" s="219"/>
      <c r="AI79" s="219"/>
      <c r="AJ79" s="215"/>
      <c r="AK79" s="194"/>
      <c r="AL79" s="135"/>
      <c r="AM79" s="174"/>
      <c r="AN79" s="191" t="s">
        <v>31</v>
      </c>
      <c r="AO79" s="192" t="s">
        <v>32</v>
      </c>
      <c r="AP79" s="192" t="s">
        <v>33</v>
      </c>
      <c r="AQ79" s="192" t="s">
        <v>1</v>
      </c>
      <c r="AR79" s="192" t="s">
        <v>34</v>
      </c>
      <c r="AS79" s="193" t="s">
        <v>76</v>
      </c>
      <c r="AT79" s="135"/>
      <c r="AU79" s="174"/>
      <c r="AV79" s="143"/>
      <c r="AW79" s="152"/>
      <c r="AX79" s="148"/>
      <c r="AY79" s="206"/>
      <c r="AZ79" s="194"/>
      <c r="BA79" s="144"/>
      <c r="BB79" s="194"/>
      <c r="BC79" s="135"/>
      <c r="BD79" s="253" t="s">
        <v>63</v>
      </c>
      <c r="BE79" s="233"/>
      <c r="BF79" s="254" t="s">
        <v>64</v>
      </c>
      <c r="BG79" s="255"/>
      <c r="BH79" s="256">
        <f>+BH70+BH75+BH78</f>
        <v>498917.93999999994</v>
      </c>
      <c r="BI79" s="194"/>
      <c r="BJ79" s="135"/>
      <c r="BK79" s="164"/>
      <c r="BL79" s="144"/>
      <c r="BM79" s="194"/>
      <c r="BN79" s="194"/>
      <c r="BO79" s="194"/>
      <c r="BP79" s="176"/>
      <c r="BQ79" s="147"/>
      <c r="BR79" s="176"/>
      <c r="BS79" s="176"/>
      <c r="BT79" s="176"/>
      <c r="BU79" s="176"/>
      <c r="BV79" s="176"/>
      <c r="BW79" s="176"/>
      <c r="BX79" s="176"/>
      <c r="BY79" s="176"/>
      <c r="BZ79" s="176"/>
    </row>
    <row r="80" spans="4:78" ht="18" customHeight="1" x14ac:dyDescent="0.2">
      <c r="D80" s="149"/>
      <c r="E80" s="242" t="s">
        <v>174</v>
      </c>
      <c r="F80" s="243" t="s">
        <v>308</v>
      </c>
      <c r="G80" s="244" t="s">
        <v>20</v>
      </c>
      <c r="H80" s="244">
        <v>2</v>
      </c>
      <c r="I80" s="245">
        <f>+$AR$362</f>
        <v>663511.37000000011</v>
      </c>
      <c r="J80" s="245">
        <f t="shared" si="18"/>
        <v>1327022.74</v>
      </c>
      <c r="K80" s="246"/>
      <c r="L80" s="247">
        <f t="shared" si="19"/>
        <v>6.9722937244625959E-3</v>
      </c>
      <c r="M80" s="379">
        <f t="shared" si="20"/>
        <v>6.9722937244625959E-3</v>
      </c>
      <c r="P80" s="253" t="s">
        <v>63</v>
      </c>
      <c r="Q80" s="233"/>
      <c r="R80" s="254" t="s">
        <v>64</v>
      </c>
      <c r="S80" s="255"/>
      <c r="T80" s="256">
        <f>+T71+T76+T79</f>
        <v>3171.11</v>
      </c>
      <c r="U80" s="194"/>
      <c r="V80" s="135"/>
      <c r="X80" s="202" t="s">
        <v>62</v>
      </c>
      <c r="Y80" s="250"/>
      <c r="Z80" s="168"/>
      <c r="AA80" s="168"/>
      <c r="AB80" s="251">
        <f>SUM(AB79:AB79)</f>
        <v>57.04</v>
      </c>
      <c r="AC80" s="194"/>
      <c r="AD80" s="135"/>
      <c r="AE80" s="174"/>
      <c r="AF80" s="232" t="s">
        <v>57</v>
      </c>
      <c r="AG80" s="233"/>
      <c r="AH80" s="234"/>
      <c r="AI80" s="234"/>
      <c r="AJ80" s="235">
        <f>SUM(AJ77:AJ79)</f>
        <v>295.55</v>
      </c>
      <c r="AL80" s="135"/>
      <c r="AM80" s="174"/>
      <c r="AN80" s="197" t="s">
        <v>37</v>
      </c>
      <c r="AO80" s="198"/>
      <c r="AP80" s="199"/>
      <c r="AQ80" s="199"/>
      <c r="AR80" s="200"/>
      <c r="AS80" s="201"/>
      <c r="AT80" s="135"/>
      <c r="AU80" s="174"/>
      <c r="AV80" s="143"/>
      <c r="AW80" s="155" t="s">
        <v>430</v>
      </c>
      <c r="AX80" s="169"/>
      <c r="AY80" s="172"/>
      <c r="AZ80" s="172"/>
      <c r="BA80" s="173"/>
      <c r="BB80" s="154"/>
      <c r="BD80" s="152"/>
      <c r="BE80" s="153"/>
      <c r="BF80" s="145"/>
      <c r="BG80" s="145"/>
      <c r="BH80" s="145"/>
      <c r="BI80" s="154"/>
      <c r="BK80" s="164"/>
      <c r="BL80" s="144"/>
      <c r="BM80" s="194"/>
      <c r="BN80" s="194"/>
      <c r="BO80" s="194"/>
      <c r="BP80" s="176"/>
      <c r="BQ80" s="147"/>
      <c r="BR80" s="176"/>
      <c r="BS80" s="176"/>
      <c r="BT80" s="176"/>
      <c r="BU80" s="176"/>
      <c r="BV80" s="176"/>
      <c r="BW80" s="176"/>
      <c r="BX80" s="176"/>
      <c r="BY80" s="176"/>
      <c r="BZ80" s="176"/>
    </row>
    <row r="81" spans="4:78" ht="18" customHeight="1" x14ac:dyDescent="0.2">
      <c r="D81" s="149"/>
      <c r="E81" s="242" t="s">
        <v>175</v>
      </c>
      <c r="F81" s="243" t="s">
        <v>311</v>
      </c>
      <c r="G81" s="244" t="s">
        <v>20</v>
      </c>
      <c r="H81" s="244">
        <v>1</v>
      </c>
      <c r="I81" s="245">
        <f>+$AR$381</f>
        <v>904927.59</v>
      </c>
      <c r="J81" s="245">
        <f t="shared" si="18"/>
        <v>904927.59</v>
      </c>
      <c r="K81" s="246"/>
      <c r="L81" s="247">
        <f t="shared" si="19"/>
        <v>4.7545688304105934E-3</v>
      </c>
      <c r="M81" s="379">
        <f t="shared" si="20"/>
        <v>4.7545688304105934E-3</v>
      </c>
      <c r="P81" s="194"/>
      <c r="Q81" s="148"/>
      <c r="R81" s="206"/>
      <c r="S81" s="194"/>
      <c r="T81" s="144"/>
      <c r="U81" s="194"/>
      <c r="V81" s="135"/>
      <c r="X81" s="253" t="s">
        <v>63</v>
      </c>
      <c r="Y81" s="233"/>
      <c r="Z81" s="254" t="s">
        <v>64</v>
      </c>
      <c r="AA81" s="255"/>
      <c r="AB81" s="256">
        <f>+AB72+AB77+AB80</f>
        <v>7920.91</v>
      </c>
      <c r="AC81" s="194"/>
      <c r="AD81" s="135"/>
      <c r="AE81" s="174"/>
      <c r="AF81" s="197" t="s">
        <v>58</v>
      </c>
      <c r="AG81" s="198"/>
      <c r="AH81" s="199"/>
      <c r="AI81" s="199"/>
      <c r="AJ81" s="200"/>
      <c r="AK81" s="153"/>
      <c r="AL81" s="135"/>
      <c r="AM81" s="174"/>
      <c r="AN81" s="216" t="s">
        <v>38</v>
      </c>
      <c r="AO81" s="153" t="s">
        <v>39</v>
      </c>
      <c r="AP81" s="194">
        <v>15</v>
      </c>
      <c r="AQ81" s="194">
        <v>26.528938000000004</v>
      </c>
      <c r="AR81" s="215">
        <f>+ROUND(AP81*AQ81,2)</f>
        <v>397.93</v>
      </c>
      <c r="AS81" s="201"/>
      <c r="AT81" s="135"/>
      <c r="AU81" s="174"/>
      <c r="AV81" s="143"/>
      <c r="AW81" s="177" t="s">
        <v>431</v>
      </c>
      <c r="AX81" s="150"/>
      <c r="AY81" s="178"/>
      <c r="AZ81" s="149"/>
      <c r="BA81" s="179" t="str">
        <f>$G$107</f>
        <v>m2</v>
      </c>
      <c r="BB81" s="180">
        <f>$H$107</f>
        <v>1213.8</v>
      </c>
      <c r="BD81" s="155" t="s">
        <v>435</v>
      </c>
      <c r="BE81" s="169"/>
      <c r="BF81" s="172"/>
      <c r="BG81" s="172"/>
      <c r="BH81" s="173"/>
      <c r="BI81" s="154"/>
      <c r="BJ81" s="175"/>
      <c r="BK81" s="164"/>
      <c r="BL81" s="144"/>
      <c r="BM81" s="194"/>
      <c r="BN81" s="194"/>
      <c r="BO81" s="194"/>
      <c r="BP81" s="176"/>
      <c r="BQ81" s="147"/>
      <c r="BR81" s="176"/>
      <c r="BS81" s="176"/>
      <c r="BT81" s="176"/>
      <c r="BU81" s="176"/>
      <c r="BV81" s="176"/>
      <c r="BW81" s="176"/>
      <c r="BX81" s="176"/>
      <c r="BY81" s="176"/>
      <c r="BZ81" s="176"/>
    </row>
    <row r="82" spans="4:78" ht="18" customHeight="1" thickBot="1" x14ac:dyDescent="0.25">
      <c r="D82" s="149"/>
      <c r="E82" s="242" t="s">
        <v>176</v>
      </c>
      <c r="F82" s="243" t="s">
        <v>312</v>
      </c>
      <c r="G82" s="244" t="s">
        <v>20</v>
      </c>
      <c r="H82" s="244">
        <v>1</v>
      </c>
      <c r="I82" s="245">
        <f>+$AR$400</f>
        <v>1501272.23</v>
      </c>
      <c r="J82" s="245">
        <f t="shared" si="18"/>
        <v>1501272.23</v>
      </c>
      <c r="K82" s="246"/>
      <c r="L82" s="247">
        <f t="shared" si="19"/>
        <v>7.88781580935001E-3</v>
      </c>
      <c r="M82" s="379">
        <f t="shared" si="20"/>
        <v>7.88781580935001E-3</v>
      </c>
      <c r="P82" s="155" t="s">
        <v>344</v>
      </c>
      <c r="Q82" s="169"/>
      <c r="R82" s="172"/>
      <c r="S82" s="172"/>
      <c r="T82" s="173"/>
      <c r="U82" s="154"/>
      <c r="V82" s="135"/>
      <c r="W82" s="143"/>
      <c r="X82" s="152"/>
      <c r="Y82" s="148"/>
      <c r="Z82" s="206"/>
      <c r="AA82" s="194"/>
      <c r="AB82" s="144"/>
      <c r="AC82" s="194"/>
      <c r="AD82" s="135"/>
      <c r="AE82" s="174"/>
      <c r="AF82" s="252" t="s">
        <v>59</v>
      </c>
      <c r="AG82" s="213" t="s">
        <v>60</v>
      </c>
      <c r="AH82" s="226">
        <v>9.9662000000000006</v>
      </c>
      <c r="AI82" s="226">
        <v>1.9600688000000004</v>
      </c>
      <c r="AJ82" s="215">
        <f>+ROUND(AH82*AI82,2)</f>
        <v>19.53</v>
      </c>
      <c r="AK82" s="194"/>
      <c r="AL82" s="135"/>
      <c r="AM82" s="174"/>
      <c r="AN82" s="216" t="s">
        <v>45</v>
      </c>
      <c r="AO82" s="213" t="s">
        <v>15</v>
      </c>
      <c r="AP82" s="214">
        <v>0.03</v>
      </c>
      <c r="AQ82" s="214">
        <v>2066.1157024793388</v>
      </c>
      <c r="AR82" s="215">
        <f>+ROUND(AP82*AQ82,2)</f>
        <v>61.98</v>
      </c>
      <c r="AS82" s="201"/>
      <c r="AT82" s="135"/>
      <c r="AU82" s="174"/>
      <c r="AV82" s="143"/>
      <c r="AW82" s="187"/>
      <c r="AX82" s="161"/>
      <c r="AY82" s="159"/>
      <c r="AZ82" s="159"/>
      <c r="BA82" s="280"/>
      <c r="BD82" s="177" t="s">
        <v>440</v>
      </c>
      <c r="BE82" s="150"/>
      <c r="BF82" s="178"/>
      <c r="BG82" s="149"/>
      <c r="BH82" s="179" t="str">
        <f>$G$116</f>
        <v>UN</v>
      </c>
      <c r="BI82" s="180">
        <f>$H$116</f>
        <v>1</v>
      </c>
      <c r="BJ82" s="181"/>
      <c r="BK82" s="164"/>
      <c r="BL82" s="194"/>
      <c r="BM82" s="194"/>
      <c r="BN82" s="194"/>
      <c r="BO82" s="176"/>
      <c r="BP82" s="176"/>
      <c r="BQ82" s="279"/>
      <c r="BR82" s="176"/>
      <c r="BS82" s="176"/>
      <c r="BT82" s="176"/>
      <c r="BU82" s="176"/>
      <c r="BV82" s="176"/>
      <c r="BW82" s="176"/>
      <c r="BX82" s="176"/>
      <c r="BY82" s="176"/>
      <c r="BZ82" s="176"/>
    </row>
    <row r="83" spans="4:78" ht="18" customHeight="1" thickTop="1" thickBot="1" x14ac:dyDescent="0.25">
      <c r="D83" s="149"/>
      <c r="E83" s="242" t="s">
        <v>177</v>
      </c>
      <c r="F83" s="243" t="s">
        <v>313</v>
      </c>
      <c r="G83" s="244" t="s">
        <v>20</v>
      </c>
      <c r="H83" s="244">
        <v>1</v>
      </c>
      <c r="I83" s="245">
        <f>+$AR$419</f>
        <v>525278.78</v>
      </c>
      <c r="J83" s="245">
        <f t="shared" si="18"/>
        <v>525278.78</v>
      </c>
      <c r="K83" s="246"/>
      <c r="L83" s="247">
        <f t="shared" si="19"/>
        <v>2.7598607250598952E-3</v>
      </c>
      <c r="M83" s="379">
        <f t="shared" si="20"/>
        <v>2.7598607250598952E-3</v>
      </c>
      <c r="P83" s="177" t="s">
        <v>347</v>
      </c>
      <c r="Q83" s="150"/>
      <c r="R83" s="178"/>
      <c r="S83" s="149"/>
      <c r="T83" s="179" t="str">
        <f>$G$18</f>
        <v>m2</v>
      </c>
      <c r="U83" s="180">
        <f>$H$18</f>
        <v>23.04</v>
      </c>
      <c r="V83" s="163"/>
      <c r="W83" s="143"/>
      <c r="X83" s="155" t="s">
        <v>354</v>
      </c>
      <c r="Y83" s="169"/>
      <c r="Z83" s="172"/>
      <c r="AA83" s="172"/>
      <c r="AB83" s="173"/>
      <c r="AC83" s="154"/>
      <c r="AD83" s="135"/>
      <c r="AE83" s="174"/>
      <c r="AF83" s="202" t="s">
        <v>62</v>
      </c>
      <c r="AG83" s="250"/>
      <c r="AH83" s="168"/>
      <c r="AI83" s="168"/>
      <c r="AJ83" s="251">
        <f>SUM(AJ82:AJ82)</f>
        <v>19.53</v>
      </c>
      <c r="AK83" s="194"/>
      <c r="AL83" s="135"/>
      <c r="AM83" s="174"/>
      <c r="AN83" s="224" t="s">
        <v>50</v>
      </c>
      <c r="AO83" s="225" t="s">
        <v>28</v>
      </c>
      <c r="AP83" s="226">
        <v>0.03</v>
      </c>
      <c r="AQ83" s="194">
        <v>459.91</v>
      </c>
      <c r="AR83" s="223">
        <f>+ROUND(AP83*AQ83,2)</f>
        <v>13.8</v>
      </c>
      <c r="AS83" s="201"/>
      <c r="AT83" s="135"/>
      <c r="AU83" s="174"/>
      <c r="AV83" s="143"/>
      <c r="AW83" s="191" t="s">
        <v>31</v>
      </c>
      <c r="AX83" s="192" t="s">
        <v>32</v>
      </c>
      <c r="AY83" s="192" t="s">
        <v>33</v>
      </c>
      <c r="AZ83" s="192" t="s">
        <v>1</v>
      </c>
      <c r="BA83" s="192" t="s">
        <v>34</v>
      </c>
      <c r="BB83" s="135"/>
      <c r="BD83" s="183"/>
      <c r="BE83" s="184"/>
      <c r="BF83" s="185"/>
      <c r="BG83" s="185"/>
      <c r="BH83" s="186"/>
      <c r="BJ83" s="181"/>
      <c r="BK83" s="164"/>
      <c r="BL83" s="144"/>
      <c r="BM83" s="194"/>
      <c r="BN83" s="194"/>
      <c r="BO83" s="194"/>
      <c r="BP83" s="176"/>
      <c r="BQ83" s="279"/>
      <c r="BR83" s="176"/>
      <c r="BS83" s="176"/>
      <c r="BT83" s="176"/>
      <c r="BU83" s="176"/>
      <c r="BV83" s="176"/>
      <c r="BW83" s="176"/>
      <c r="BX83" s="176"/>
      <c r="BY83" s="176"/>
      <c r="BZ83" s="176"/>
    </row>
    <row r="84" spans="4:78" ht="18" customHeight="1" thickTop="1" thickBot="1" x14ac:dyDescent="0.25">
      <c r="D84" s="149"/>
      <c r="E84" s="242" t="s">
        <v>178</v>
      </c>
      <c r="F84" s="243" t="s">
        <v>314</v>
      </c>
      <c r="G84" s="244" t="s">
        <v>20</v>
      </c>
      <c r="H84" s="244">
        <v>1</v>
      </c>
      <c r="I84" s="245">
        <f>+$AR$438</f>
        <v>556516.66999999993</v>
      </c>
      <c r="J84" s="245">
        <f t="shared" si="18"/>
        <v>556516.67000000004</v>
      </c>
      <c r="K84" s="246"/>
      <c r="L84" s="247">
        <f t="shared" si="19"/>
        <v>2.9239873355899099E-3</v>
      </c>
      <c r="M84" s="379">
        <f t="shared" si="20"/>
        <v>2.9239873355899099E-3</v>
      </c>
      <c r="P84" s="183"/>
      <c r="Q84" s="184"/>
      <c r="R84" s="185"/>
      <c r="S84" s="185"/>
      <c r="T84" s="186"/>
      <c r="V84" s="145"/>
      <c r="W84" s="143"/>
      <c r="X84" s="177" t="s">
        <v>359</v>
      </c>
      <c r="Y84" s="150"/>
      <c r="Z84" s="178"/>
      <c r="AA84" s="149"/>
      <c r="AB84" s="179" t="str">
        <f>$G$32</f>
        <v>ml</v>
      </c>
      <c r="AC84" s="180">
        <f>$H$32</f>
        <v>19.360000000000003</v>
      </c>
      <c r="AD84" s="163"/>
      <c r="AE84" s="174"/>
      <c r="AF84" s="253" t="s">
        <v>63</v>
      </c>
      <c r="AG84" s="233"/>
      <c r="AH84" s="254" t="s">
        <v>64</v>
      </c>
      <c r="AI84" s="255"/>
      <c r="AJ84" s="256">
        <f>+AJ75+AJ80+AJ83</f>
        <v>354.59000000000003</v>
      </c>
      <c r="AK84" s="194"/>
      <c r="AL84" s="135"/>
      <c r="AM84" s="174"/>
      <c r="AN84" s="232" t="s">
        <v>51</v>
      </c>
      <c r="AO84" s="233"/>
      <c r="AP84" s="234"/>
      <c r="AQ84" s="234"/>
      <c r="AR84" s="235">
        <f>SUM(AR81:AR83)</f>
        <v>473.71000000000004</v>
      </c>
      <c r="AS84" s="235"/>
      <c r="AT84" s="135"/>
      <c r="AU84" s="174"/>
      <c r="AV84" s="174"/>
      <c r="AW84" s="197" t="s">
        <v>37</v>
      </c>
      <c r="AX84" s="198"/>
      <c r="AY84" s="199"/>
      <c r="AZ84" s="199"/>
      <c r="BA84" s="200"/>
      <c r="BB84" s="193"/>
      <c r="BD84" s="191" t="s">
        <v>31</v>
      </c>
      <c r="BE84" s="192" t="s">
        <v>32</v>
      </c>
      <c r="BF84" s="192" t="s">
        <v>33</v>
      </c>
      <c r="BG84" s="192" t="s">
        <v>1</v>
      </c>
      <c r="BH84" s="192" t="s">
        <v>34</v>
      </c>
      <c r="BI84" s="193" t="s">
        <v>76</v>
      </c>
      <c r="BJ84" s="194"/>
      <c r="BK84" s="164"/>
      <c r="BL84" s="144"/>
      <c r="BM84" s="194"/>
      <c r="BN84" s="194"/>
      <c r="BO84" s="194"/>
      <c r="BP84" s="176"/>
      <c r="BQ84" s="231"/>
      <c r="BR84" s="176"/>
      <c r="BS84" s="176"/>
      <c r="BT84" s="176"/>
      <c r="BU84" s="176"/>
      <c r="BV84" s="176"/>
      <c r="BW84" s="176"/>
      <c r="BX84" s="176"/>
      <c r="BY84" s="176"/>
      <c r="BZ84" s="176"/>
    </row>
    <row r="85" spans="4:78" ht="18" customHeight="1" thickTop="1" thickBot="1" x14ac:dyDescent="0.25">
      <c r="D85" s="149"/>
      <c r="E85" s="242" t="s">
        <v>179</v>
      </c>
      <c r="F85" s="243" t="s">
        <v>315</v>
      </c>
      <c r="G85" s="244" t="s">
        <v>20</v>
      </c>
      <c r="H85" s="244">
        <v>1</v>
      </c>
      <c r="I85" s="245">
        <f>+$AR$457</f>
        <v>365701.20999999996</v>
      </c>
      <c r="J85" s="245">
        <f t="shared" si="18"/>
        <v>365701.21</v>
      </c>
      <c r="K85" s="246"/>
      <c r="L85" s="247">
        <f t="shared" si="19"/>
        <v>1.9214261931271637E-3</v>
      </c>
      <c r="M85" s="379">
        <f t="shared" si="20"/>
        <v>1.9214261931271637E-3</v>
      </c>
      <c r="P85" s="191" t="s">
        <v>31</v>
      </c>
      <c r="Q85" s="192" t="s">
        <v>32</v>
      </c>
      <c r="R85" s="192" t="s">
        <v>33</v>
      </c>
      <c r="S85" s="192" t="s">
        <v>1</v>
      </c>
      <c r="T85" s="192" t="s">
        <v>34</v>
      </c>
      <c r="U85" s="193" t="s">
        <v>76</v>
      </c>
      <c r="V85" s="153"/>
      <c r="W85" s="143"/>
      <c r="X85" s="183"/>
      <c r="Y85" s="184"/>
      <c r="Z85" s="185"/>
      <c r="AA85" s="185"/>
      <c r="AB85" s="186"/>
      <c r="AD85" s="145"/>
      <c r="AE85" s="174"/>
      <c r="AF85" s="152"/>
      <c r="AG85" s="148"/>
      <c r="AH85" s="206"/>
      <c r="AI85" s="194"/>
      <c r="AJ85" s="144"/>
      <c r="AK85" s="194"/>
      <c r="AL85" s="135"/>
      <c r="AM85" s="174"/>
      <c r="AN85" s="197" t="s">
        <v>53</v>
      </c>
      <c r="AO85" s="198"/>
      <c r="AP85" s="199"/>
      <c r="AQ85" s="199"/>
      <c r="AR85" s="200"/>
      <c r="AS85" s="153"/>
      <c r="AT85" s="135"/>
      <c r="AU85" s="174"/>
      <c r="AV85" s="143"/>
      <c r="AW85" s="281" t="s">
        <v>69</v>
      </c>
      <c r="AX85" s="282" t="s">
        <v>70</v>
      </c>
      <c r="AY85" s="283">
        <v>0.15</v>
      </c>
      <c r="AZ85" s="284">
        <v>1093.433884297521</v>
      </c>
      <c r="BA85" s="285">
        <f t="shared" ref="BA85:BA92" si="21">+ROUND(AY85*AZ85,2)</f>
        <v>164.02</v>
      </c>
      <c r="BB85" s="201"/>
      <c r="BD85" s="197" t="s">
        <v>37</v>
      </c>
      <c r="BE85" s="198"/>
      <c r="BF85" s="199"/>
      <c r="BG85" s="199"/>
      <c r="BH85" s="200"/>
      <c r="BI85" s="201"/>
      <c r="BJ85" s="194"/>
      <c r="BK85" s="164"/>
      <c r="BL85" s="149"/>
      <c r="BM85" s="194"/>
      <c r="BN85" s="194"/>
      <c r="BO85" s="194"/>
      <c r="BP85" s="176"/>
      <c r="BQ85" s="147"/>
      <c r="BR85" s="176"/>
      <c r="BS85" s="176"/>
      <c r="BT85" s="176"/>
      <c r="BU85" s="176"/>
      <c r="BV85" s="176"/>
      <c r="BW85" s="176"/>
      <c r="BX85" s="176"/>
      <c r="BY85" s="176"/>
      <c r="BZ85" s="176"/>
    </row>
    <row r="86" spans="4:78" ht="18" customHeight="1" thickTop="1" x14ac:dyDescent="0.2">
      <c r="D86" s="149"/>
      <c r="E86" s="242" t="s">
        <v>180</v>
      </c>
      <c r="F86" s="243" t="s">
        <v>316</v>
      </c>
      <c r="G86" s="244" t="s">
        <v>20</v>
      </c>
      <c r="H86" s="244">
        <v>1</v>
      </c>
      <c r="I86" s="245">
        <f>+$AR$476</f>
        <v>391494.47000000003</v>
      </c>
      <c r="J86" s="245">
        <f t="shared" si="18"/>
        <v>391494.47</v>
      </c>
      <c r="K86" s="246"/>
      <c r="L86" s="247">
        <f t="shared" si="19"/>
        <v>2.0569462406822129E-3</v>
      </c>
      <c r="M86" s="379">
        <f t="shared" si="20"/>
        <v>2.0569462406822129E-3</v>
      </c>
      <c r="P86" s="197" t="s">
        <v>37</v>
      </c>
      <c r="Q86" s="198"/>
      <c r="R86" s="199"/>
      <c r="S86" s="199"/>
      <c r="T86" s="200"/>
      <c r="U86" s="201"/>
      <c r="V86" s="153"/>
      <c r="W86" s="143"/>
      <c r="X86" s="191" t="s">
        <v>31</v>
      </c>
      <c r="Y86" s="192" t="s">
        <v>32</v>
      </c>
      <c r="Z86" s="192" t="s">
        <v>33</v>
      </c>
      <c r="AA86" s="192" t="s">
        <v>1</v>
      </c>
      <c r="AB86" s="192" t="s">
        <v>34</v>
      </c>
      <c r="AC86" s="193" t="s">
        <v>76</v>
      </c>
      <c r="AD86" s="153"/>
      <c r="AE86" s="174"/>
      <c r="AF86" s="155" t="s">
        <v>372</v>
      </c>
      <c r="AG86" s="169"/>
      <c r="AH86" s="172"/>
      <c r="AI86" s="172"/>
      <c r="AJ86" s="173"/>
      <c r="AK86" s="154"/>
      <c r="AL86" s="163"/>
      <c r="AM86" s="174"/>
      <c r="AN86" s="224" t="s">
        <v>54</v>
      </c>
      <c r="AO86" s="225" t="s">
        <v>55</v>
      </c>
      <c r="AP86" s="226">
        <v>0.6</v>
      </c>
      <c r="AQ86" s="226">
        <v>1600.8</v>
      </c>
      <c r="AR86" s="215">
        <f>+ROUND(AP86*AQ86,2)</f>
        <v>960.48</v>
      </c>
      <c r="AS86" s="194"/>
      <c r="AT86" s="135"/>
      <c r="AU86" s="174"/>
      <c r="AV86" s="143"/>
      <c r="AW86" s="224" t="s">
        <v>71</v>
      </c>
      <c r="AX86" s="225" t="s">
        <v>70</v>
      </c>
      <c r="AY86" s="226">
        <v>0.35</v>
      </c>
      <c r="AZ86" s="194">
        <v>952.34863636363684</v>
      </c>
      <c r="BA86" s="215">
        <f t="shared" si="21"/>
        <v>333.32</v>
      </c>
      <c r="BB86" s="201"/>
      <c r="BD86" s="216" t="s">
        <v>440</v>
      </c>
      <c r="BE86" s="213" t="s">
        <v>35</v>
      </c>
      <c r="BF86" s="214">
        <v>1</v>
      </c>
      <c r="BG86" s="214">
        <v>941497.89299999992</v>
      </c>
      <c r="BH86" s="217">
        <f>ROUND((BG86*BF86),2)</f>
        <v>941497.89</v>
      </c>
      <c r="BI86" s="201"/>
      <c r="BJ86" s="241">
        <f>+BH86*BI82</f>
        <v>941497.89</v>
      </c>
      <c r="BK86" s="164"/>
      <c r="BL86" s="149"/>
      <c r="BM86" s="194"/>
      <c r="BN86" s="194"/>
      <c r="BO86" s="194"/>
      <c r="BP86" s="176"/>
      <c r="BQ86" s="147"/>
      <c r="BR86" s="176"/>
      <c r="BS86" s="176"/>
      <c r="BT86" s="176"/>
      <c r="BU86" s="176"/>
      <c r="BV86" s="176"/>
      <c r="BW86" s="176"/>
      <c r="BX86" s="176"/>
      <c r="BY86" s="176"/>
      <c r="BZ86" s="176"/>
    </row>
    <row r="87" spans="4:78" ht="18" customHeight="1" x14ac:dyDescent="0.2">
      <c r="D87" s="149"/>
      <c r="E87" s="242" t="s">
        <v>181</v>
      </c>
      <c r="F87" s="243" t="s">
        <v>317</v>
      </c>
      <c r="G87" s="244" t="s">
        <v>20</v>
      </c>
      <c r="H87" s="244">
        <v>8</v>
      </c>
      <c r="I87" s="245">
        <f>+$AR$495</f>
        <v>145800.29</v>
      </c>
      <c r="J87" s="245">
        <f t="shared" si="18"/>
        <v>1166402.32</v>
      </c>
      <c r="K87" s="246"/>
      <c r="L87" s="247">
        <f t="shared" si="19"/>
        <v>6.1283799672751755E-3</v>
      </c>
      <c r="M87" s="379">
        <f t="shared" si="20"/>
        <v>6.1283799672751755E-3</v>
      </c>
      <c r="P87" s="216"/>
      <c r="Q87" s="213"/>
      <c r="R87" s="214"/>
      <c r="S87" s="214"/>
      <c r="T87" s="215">
        <f>+ROUND(R87*S87,2)</f>
        <v>0</v>
      </c>
      <c r="U87" s="201"/>
      <c r="V87" s="176"/>
      <c r="W87" s="143"/>
      <c r="X87" s="197" t="s">
        <v>37</v>
      </c>
      <c r="Y87" s="198"/>
      <c r="Z87" s="199"/>
      <c r="AA87" s="199"/>
      <c r="AB87" s="200"/>
      <c r="AC87" s="201"/>
      <c r="AD87" s="153"/>
      <c r="AE87" s="174"/>
      <c r="AF87" s="177" t="s">
        <v>373</v>
      </c>
      <c r="AG87" s="150"/>
      <c r="AH87" s="178"/>
      <c r="AI87" s="149"/>
      <c r="AJ87" s="179" t="str">
        <f>$G$46</f>
        <v>m2</v>
      </c>
      <c r="AK87" s="180">
        <f>$H$46</f>
        <v>315</v>
      </c>
      <c r="AL87" s="145"/>
      <c r="AM87" s="174"/>
      <c r="AN87" s="224" t="s">
        <v>56</v>
      </c>
      <c r="AO87" s="225" t="s">
        <v>55</v>
      </c>
      <c r="AP87" s="226">
        <v>0.4</v>
      </c>
      <c r="AQ87" s="226">
        <v>1354.6999999999998</v>
      </c>
      <c r="AR87" s="215">
        <f>+ROUND(AP87*AQ87,2)</f>
        <v>541.88</v>
      </c>
      <c r="AS87" s="194"/>
      <c r="AT87" s="135"/>
      <c r="AU87" s="174"/>
      <c r="AV87" s="143"/>
      <c r="AW87" s="224" t="s">
        <v>124</v>
      </c>
      <c r="AX87" s="225" t="s">
        <v>44</v>
      </c>
      <c r="AY87" s="226">
        <v>0.3</v>
      </c>
      <c r="AZ87" s="194">
        <v>417.35</v>
      </c>
      <c r="BA87" s="215">
        <f t="shared" si="21"/>
        <v>125.21</v>
      </c>
      <c r="BB87" s="286"/>
      <c r="BD87" s="216" t="s">
        <v>330</v>
      </c>
      <c r="BE87" s="213" t="s">
        <v>28</v>
      </c>
      <c r="BF87" s="214">
        <v>1</v>
      </c>
      <c r="BG87" s="214">
        <v>65904.852300000013</v>
      </c>
      <c r="BH87" s="217">
        <f>ROUND((BG87*BF87),2)</f>
        <v>65904.850000000006</v>
      </c>
      <c r="BI87" s="201"/>
      <c r="BJ87" s="241"/>
      <c r="BK87" s="164"/>
      <c r="BL87" s="149"/>
      <c r="BM87" s="194"/>
      <c r="BN87" s="194"/>
      <c r="BO87" s="194"/>
      <c r="BP87" s="176"/>
      <c r="BQ87" s="147"/>
      <c r="BR87" s="176"/>
      <c r="BS87" s="176"/>
      <c r="BT87" s="176"/>
      <c r="BU87" s="176"/>
      <c r="BV87" s="176"/>
      <c r="BW87" s="176"/>
      <c r="BX87" s="176"/>
      <c r="BY87" s="176"/>
      <c r="BZ87" s="176"/>
    </row>
    <row r="88" spans="4:78" ht="18" customHeight="1" thickBot="1" x14ac:dyDescent="0.25">
      <c r="D88" s="149"/>
      <c r="E88" s="242" t="s">
        <v>182</v>
      </c>
      <c r="F88" s="243" t="s">
        <v>322</v>
      </c>
      <c r="G88" s="244" t="s">
        <v>20</v>
      </c>
      <c r="H88" s="244">
        <v>1</v>
      </c>
      <c r="I88" s="245">
        <f>+$AR$514</f>
        <v>324285.15999999997</v>
      </c>
      <c r="J88" s="245">
        <f t="shared" si="18"/>
        <v>324285.15999999997</v>
      </c>
      <c r="K88" s="246"/>
      <c r="L88" s="247">
        <f t="shared" si="19"/>
        <v>1.703822638340281E-3</v>
      </c>
      <c r="M88" s="379">
        <f t="shared" si="20"/>
        <v>1.703822638340281E-3</v>
      </c>
      <c r="P88" s="224" t="s">
        <v>50</v>
      </c>
      <c r="Q88" s="225" t="s">
        <v>28</v>
      </c>
      <c r="R88" s="226">
        <v>0.03</v>
      </c>
      <c r="S88" s="219"/>
      <c r="T88" s="223">
        <f>+ROUND(R88*S88,2)</f>
        <v>0</v>
      </c>
      <c r="U88" s="201"/>
      <c r="V88" s="153"/>
      <c r="W88" s="143"/>
      <c r="X88" s="216" t="s">
        <v>359</v>
      </c>
      <c r="Y88" s="213" t="s">
        <v>68</v>
      </c>
      <c r="Z88" s="214">
        <v>1.1000000000000001</v>
      </c>
      <c r="AA88" s="214">
        <v>10944.6</v>
      </c>
      <c r="AB88" s="215">
        <f>+ROUND(Z88*AA88,2)</f>
        <v>12039.06</v>
      </c>
      <c r="AC88" s="201"/>
      <c r="AD88" s="176"/>
      <c r="AE88" s="174"/>
      <c r="AF88" s="183"/>
      <c r="AG88" s="184"/>
      <c r="AH88" s="185"/>
      <c r="AI88" s="185"/>
      <c r="AJ88" s="186"/>
      <c r="AL88" s="153"/>
      <c r="AM88" s="174"/>
      <c r="AN88" s="248"/>
      <c r="AO88" s="249"/>
      <c r="AP88" s="219"/>
      <c r="AQ88" s="219"/>
      <c r="AR88" s="215"/>
      <c r="AS88" s="194"/>
      <c r="AT88" s="135"/>
      <c r="AU88" s="174"/>
      <c r="AV88" s="143"/>
      <c r="AW88" s="224" t="s">
        <v>72</v>
      </c>
      <c r="AX88" s="225" t="s">
        <v>20</v>
      </c>
      <c r="AY88" s="226">
        <v>0.1</v>
      </c>
      <c r="AZ88" s="194">
        <v>123.80165289256199</v>
      </c>
      <c r="BA88" s="215">
        <f t="shared" si="21"/>
        <v>12.38</v>
      </c>
      <c r="BB88" s="286"/>
      <c r="BD88" s="224" t="s">
        <v>50</v>
      </c>
      <c r="BE88" s="225" t="s">
        <v>28</v>
      </c>
      <c r="BF88" s="226">
        <v>0.03</v>
      </c>
      <c r="BG88" s="226">
        <v>1007402.74</v>
      </c>
      <c r="BH88" s="217">
        <f>ROUND((BG88*BF88),2)</f>
        <v>30222.080000000002</v>
      </c>
      <c r="BI88" s="201"/>
      <c r="BJ88" s="194"/>
      <c r="BK88" s="164"/>
      <c r="BL88" s="149"/>
      <c r="BM88" s="194"/>
      <c r="BN88" s="194"/>
      <c r="BO88" s="194"/>
      <c r="BP88" s="176"/>
      <c r="BQ88" s="147"/>
      <c r="BR88" s="176"/>
      <c r="BS88" s="176"/>
      <c r="BT88" s="176"/>
      <c r="BU88" s="176"/>
      <c r="BV88" s="176"/>
      <c r="BW88" s="176"/>
      <c r="BX88" s="176"/>
      <c r="BY88" s="176"/>
      <c r="BZ88" s="176"/>
    </row>
    <row r="89" spans="4:78" ht="18" customHeight="1" thickTop="1" x14ac:dyDescent="0.2">
      <c r="D89" s="149"/>
      <c r="E89" s="242"/>
      <c r="F89" s="243"/>
      <c r="G89" s="244"/>
      <c r="H89" s="244"/>
      <c r="I89" s="245"/>
      <c r="J89" s="245"/>
      <c r="K89" s="246"/>
      <c r="L89" s="247"/>
      <c r="M89" s="379">
        <f t="shared" si="20"/>
        <v>0</v>
      </c>
      <c r="P89" s="232" t="s">
        <v>51</v>
      </c>
      <c r="Q89" s="233"/>
      <c r="R89" s="234"/>
      <c r="S89" s="234"/>
      <c r="T89" s="235">
        <f>SUM(T87:T88)</f>
        <v>0</v>
      </c>
      <c r="U89" s="235"/>
      <c r="V89" s="194"/>
      <c r="W89" s="143"/>
      <c r="X89" s="216" t="s">
        <v>274</v>
      </c>
      <c r="Y89" s="213" t="s">
        <v>28</v>
      </c>
      <c r="Z89" s="214">
        <v>1</v>
      </c>
      <c r="AA89" s="214">
        <v>361.17179999999996</v>
      </c>
      <c r="AB89" s="215">
        <f>+ROUND(Z89*AA89,2)</f>
        <v>361.17</v>
      </c>
      <c r="AC89" s="201"/>
      <c r="AD89" s="176"/>
      <c r="AE89" s="174"/>
      <c r="AF89" s="191" t="s">
        <v>31</v>
      </c>
      <c r="AG89" s="192" t="s">
        <v>32</v>
      </c>
      <c r="AH89" s="192" t="s">
        <v>33</v>
      </c>
      <c r="AI89" s="192" t="s">
        <v>1</v>
      </c>
      <c r="AJ89" s="192" t="s">
        <v>34</v>
      </c>
      <c r="AK89" s="193" t="s">
        <v>76</v>
      </c>
      <c r="AL89" s="194"/>
      <c r="AM89" s="174"/>
      <c r="AN89" s="232" t="s">
        <v>57</v>
      </c>
      <c r="AO89" s="233"/>
      <c r="AP89" s="234"/>
      <c r="AQ89" s="234"/>
      <c r="AR89" s="235">
        <f>SUM(AR86:AR88)</f>
        <v>1502.3600000000001</v>
      </c>
      <c r="AT89" s="135"/>
      <c r="AU89" s="174"/>
      <c r="AV89" s="143"/>
      <c r="AW89" s="212" t="s">
        <v>73</v>
      </c>
      <c r="AX89" s="225" t="s">
        <v>20</v>
      </c>
      <c r="AY89" s="226">
        <v>0.2</v>
      </c>
      <c r="AZ89" s="194">
        <v>769.33884297520672</v>
      </c>
      <c r="BA89" s="215">
        <f t="shared" si="21"/>
        <v>153.87</v>
      </c>
      <c r="BB89" s="201"/>
      <c r="BD89" s="232" t="s">
        <v>51</v>
      </c>
      <c r="BE89" s="233"/>
      <c r="BF89" s="234"/>
      <c r="BG89" s="234"/>
      <c r="BH89" s="235">
        <f>SUM(BH86:BH88)</f>
        <v>1037624.82</v>
      </c>
      <c r="BI89" s="235"/>
      <c r="BJ89" s="194"/>
      <c r="BK89" s="164"/>
      <c r="BL89" s="149"/>
      <c r="BM89" s="194"/>
      <c r="BN89" s="194"/>
      <c r="BO89" s="194"/>
      <c r="BP89" s="176"/>
      <c r="BQ89" s="189"/>
      <c r="BR89" s="176"/>
      <c r="BS89" s="176"/>
      <c r="BT89" s="176"/>
      <c r="BU89" s="176"/>
      <c r="BV89" s="176"/>
      <c r="BW89" s="176"/>
      <c r="BX89" s="176"/>
      <c r="BY89" s="176"/>
      <c r="BZ89" s="176"/>
    </row>
    <row r="90" spans="4:78" ht="18" customHeight="1" x14ac:dyDescent="0.2">
      <c r="D90" s="240"/>
      <c r="E90" s="395">
        <v>14</v>
      </c>
      <c r="F90" s="396" t="s">
        <v>105</v>
      </c>
      <c r="G90" s="397"/>
      <c r="H90" s="398"/>
      <c r="I90" s="398"/>
      <c r="J90" s="398"/>
      <c r="K90" s="399">
        <f>SUM(J92:J99)</f>
        <v>82887388.799999997</v>
      </c>
      <c r="L90" s="400">
        <f>+K90/$K$120</f>
        <v>0.43549760177231872</v>
      </c>
      <c r="M90" s="379"/>
      <c r="P90" s="197" t="s">
        <v>53</v>
      </c>
      <c r="Q90" s="198"/>
      <c r="R90" s="199"/>
      <c r="S90" s="199"/>
      <c r="T90" s="200"/>
      <c r="U90" s="153"/>
      <c r="V90" s="194"/>
      <c r="W90" s="143"/>
      <c r="X90" s="224" t="s">
        <v>50</v>
      </c>
      <c r="Y90" s="225" t="s">
        <v>28</v>
      </c>
      <c r="Z90" s="226">
        <v>0.03</v>
      </c>
      <c r="AA90" s="219">
        <v>12400.23</v>
      </c>
      <c r="AB90" s="223">
        <f>+ROUND(Z90*AA90,2)</f>
        <v>372.01</v>
      </c>
      <c r="AC90" s="201"/>
      <c r="AD90" s="153"/>
      <c r="AE90" s="174"/>
      <c r="AF90" s="197" t="s">
        <v>37</v>
      </c>
      <c r="AG90" s="198"/>
      <c r="AH90" s="199"/>
      <c r="AI90" s="199"/>
      <c r="AJ90" s="200"/>
      <c r="AK90" s="201"/>
      <c r="AL90" s="153"/>
      <c r="AM90" s="174"/>
      <c r="AN90" s="197" t="s">
        <v>58</v>
      </c>
      <c r="AO90" s="198"/>
      <c r="AP90" s="199"/>
      <c r="AQ90" s="199"/>
      <c r="AR90" s="200"/>
      <c r="AS90" s="153"/>
      <c r="AT90" s="135"/>
      <c r="AU90" s="174"/>
      <c r="AV90" s="143"/>
      <c r="AW90" s="212" t="s">
        <v>74</v>
      </c>
      <c r="AX90" s="274" t="s">
        <v>28</v>
      </c>
      <c r="AY90" s="275">
        <v>0.08</v>
      </c>
      <c r="AZ90" s="194">
        <v>2188.636363636364</v>
      </c>
      <c r="BA90" s="215">
        <f t="shared" si="21"/>
        <v>175.09</v>
      </c>
      <c r="BB90" s="201"/>
      <c r="BD90" s="197" t="s">
        <v>53</v>
      </c>
      <c r="BE90" s="198"/>
      <c r="BF90" s="199"/>
      <c r="BG90" s="199"/>
      <c r="BH90" s="200"/>
      <c r="BI90" s="153"/>
      <c r="BJ90" s="194"/>
      <c r="BK90" s="164"/>
      <c r="BL90" s="149"/>
      <c r="BM90" s="194"/>
      <c r="BN90" s="194"/>
      <c r="BO90" s="194"/>
      <c r="BP90" s="176"/>
      <c r="BQ90" s="147"/>
      <c r="BR90" s="176"/>
      <c r="BS90" s="176"/>
      <c r="BT90" s="176"/>
      <c r="BU90" s="176"/>
      <c r="BV90" s="176"/>
      <c r="BW90" s="176"/>
      <c r="BX90" s="176"/>
      <c r="BY90" s="176"/>
      <c r="BZ90" s="176"/>
    </row>
    <row r="91" spans="4:78" ht="18" customHeight="1" x14ac:dyDescent="0.2">
      <c r="D91" s="149"/>
      <c r="E91" s="259" t="s">
        <v>151</v>
      </c>
      <c r="F91" s="260" t="s">
        <v>139</v>
      </c>
      <c r="G91" s="244"/>
      <c r="H91" s="244"/>
      <c r="I91" s="245"/>
      <c r="J91" s="245"/>
      <c r="K91" s="289"/>
      <c r="L91" s="247"/>
      <c r="M91" s="379"/>
      <c r="P91" s="224" t="s">
        <v>54</v>
      </c>
      <c r="Q91" s="225" t="s">
        <v>55</v>
      </c>
      <c r="R91" s="226">
        <v>0.7</v>
      </c>
      <c r="S91" s="226">
        <v>1600.8</v>
      </c>
      <c r="T91" s="215">
        <f>+ROUND(R91*S91,2)</f>
        <v>1120.56</v>
      </c>
      <c r="U91" s="194"/>
      <c r="V91" s="194"/>
      <c r="W91" s="143"/>
      <c r="X91" s="232" t="s">
        <v>51</v>
      </c>
      <c r="Y91" s="233"/>
      <c r="Z91" s="234"/>
      <c r="AA91" s="234"/>
      <c r="AB91" s="235">
        <f>SUM(AB88:AB90)</f>
        <v>12772.24</v>
      </c>
      <c r="AC91" s="235"/>
      <c r="AD91" s="194"/>
      <c r="AE91" s="174"/>
      <c r="AF91" s="216" t="s">
        <v>221</v>
      </c>
      <c r="AG91" s="213" t="s">
        <v>52</v>
      </c>
      <c r="AH91" s="214">
        <v>1.1000000000000001</v>
      </c>
      <c r="AI91" s="214">
        <v>3570.5</v>
      </c>
      <c r="AJ91" s="215">
        <f>+ROUND(AH91*AI91,2)</f>
        <v>3927.55</v>
      </c>
      <c r="AK91" s="201"/>
      <c r="AL91" s="194"/>
      <c r="AM91" s="174"/>
      <c r="AN91" s="252" t="s">
        <v>59</v>
      </c>
      <c r="AO91" s="213" t="s">
        <v>60</v>
      </c>
      <c r="AP91" s="226">
        <v>60</v>
      </c>
      <c r="AQ91" s="226">
        <v>1.9600688000000004</v>
      </c>
      <c r="AR91" s="215">
        <f>+ROUND(AP91*AQ91,2)</f>
        <v>117.6</v>
      </c>
      <c r="AS91" s="194"/>
      <c r="AT91" s="135"/>
      <c r="AU91" s="174"/>
      <c r="AV91" s="143"/>
      <c r="AW91" s="224" t="s">
        <v>50</v>
      </c>
      <c r="AX91" s="274" t="s">
        <v>28</v>
      </c>
      <c r="AY91" s="275">
        <v>0.03</v>
      </c>
      <c r="AZ91" s="194">
        <v>963.8900000000001</v>
      </c>
      <c r="BA91" s="215">
        <f t="shared" si="21"/>
        <v>28.92</v>
      </c>
      <c r="BB91" s="286"/>
      <c r="BD91" s="224" t="s">
        <v>54</v>
      </c>
      <c r="BE91" s="225" t="s">
        <v>55</v>
      </c>
      <c r="BF91" s="226">
        <v>120</v>
      </c>
      <c r="BG91" s="226">
        <v>1600.8</v>
      </c>
      <c r="BH91" s="215">
        <f>+ROUND(BF91*BG91,2)</f>
        <v>192096</v>
      </c>
      <c r="BI91" s="194"/>
      <c r="BJ91" s="194"/>
      <c r="BK91" s="164"/>
      <c r="BL91" s="149"/>
      <c r="BM91" s="194"/>
      <c r="BN91" s="194"/>
      <c r="BO91" s="194"/>
      <c r="BP91" s="176"/>
      <c r="BQ91" s="147"/>
      <c r="BR91" s="176"/>
      <c r="BS91" s="176"/>
      <c r="BT91" s="176"/>
      <c r="BU91" s="176"/>
      <c r="BV91" s="176"/>
      <c r="BW91" s="176"/>
      <c r="BX91" s="176"/>
      <c r="BY91" s="176"/>
      <c r="BZ91" s="176"/>
    </row>
    <row r="92" spans="4:78" ht="18" customHeight="1" x14ac:dyDescent="0.2">
      <c r="D92" s="240"/>
      <c r="E92" s="242" t="s">
        <v>183</v>
      </c>
      <c r="F92" s="243" t="s">
        <v>118</v>
      </c>
      <c r="G92" s="244" t="s">
        <v>20</v>
      </c>
      <c r="H92" s="244">
        <v>20</v>
      </c>
      <c r="I92" s="245">
        <f>+$AR$533</f>
        <v>2289.9100000000003</v>
      </c>
      <c r="J92" s="245">
        <f>ROUND(I92*H92,2)</f>
        <v>45798.2</v>
      </c>
      <c r="K92" s="246"/>
      <c r="L92" s="247">
        <f>+J92/$K$120</f>
        <v>2.4062775476755045E-4</v>
      </c>
      <c r="M92" s="379">
        <f t="shared" si="20"/>
        <v>2.4062775476755045E-4</v>
      </c>
      <c r="P92" s="224" t="s">
        <v>56</v>
      </c>
      <c r="Q92" s="225" t="s">
        <v>55</v>
      </c>
      <c r="R92" s="226">
        <v>0.5</v>
      </c>
      <c r="S92" s="226">
        <v>1354.6999999999998</v>
      </c>
      <c r="T92" s="215">
        <f>+ROUND(R92*S92,2)</f>
        <v>677.35</v>
      </c>
      <c r="U92" s="194"/>
      <c r="V92" s="194"/>
      <c r="W92" s="143"/>
      <c r="X92" s="197" t="s">
        <v>53</v>
      </c>
      <c r="Y92" s="198"/>
      <c r="Z92" s="199"/>
      <c r="AA92" s="199"/>
      <c r="AB92" s="200"/>
      <c r="AC92" s="241"/>
      <c r="AD92" s="194"/>
      <c r="AE92" s="174"/>
      <c r="AF92" s="224" t="s">
        <v>50</v>
      </c>
      <c r="AG92" s="274" t="s">
        <v>28</v>
      </c>
      <c r="AH92" s="275">
        <v>0.03</v>
      </c>
      <c r="AI92" s="194">
        <v>3927.55</v>
      </c>
      <c r="AJ92" s="215">
        <f>+ROUND(AH92*AI92,2)</f>
        <v>117.83</v>
      </c>
      <c r="AK92" s="201"/>
      <c r="AL92" s="194"/>
      <c r="AM92" s="174"/>
      <c r="AN92" s="202" t="s">
        <v>62</v>
      </c>
      <c r="AO92" s="250"/>
      <c r="AP92" s="168"/>
      <c r="AQ92" s="168"/>
      <c r="AR92" s="251">
        <f>SUM(AR91:AR91)</f>
        <v>117.6</v>
      </c>
      <c r="AS92" s="194"/>
      <c r="AT92" s="135"/>
      <c r="AU92" s="174"/>
      <c r="AV92" s="143"/>
      <c r="AW92" s="224"/>
      <c r="AX92" s="290"/>
      <c r="AY92" s="275"/>
      <c r="AZ92" s="194"/>
      <c r="BA92" s="215">
        <f t="shared" si="21"/>
        <v>0</v>
      </c>
      <c r="BB92" s="201"/>
      <c r="BD92" s="224" t="s">
        <v>56</v>
      </c>
      <c r="BE92" s="225" t="s">
        <v>55</v>
      </c>
      <c r="BF92" s="226">
        <v>90</v>
      </c>
      <c r="BG92" s="226">
        <v>1354.6999999999998</v>
      </c>
      <c r="BH92" s="215">
        <f>+ROUND(BF92*BG92,2)</f>
        <v>121923</v>
      </c>
      <c r="BI92" s="194"/>
      <c r="BK92" s="164"/>
      <c r="BL92" s="149"/>
      <c r="BM92" s="194"/>
      <c r="BN92" s="194"/>
      <c r="BO92" s="194"/>
      <c r="BP92" s="176"/>
      <c r="BQ92" s="189"/>
      <c r="BR92" s="176"/>
      <c r="BS92" s="176"/>
      <c r="BT92" s="176"/>
      <c r="BU92" s="176"/>
      <c r="BV92" s="176"/>
      <c r="BW92" s="176"/>
      <c r="BX92" s="176"/>
      <c r="BY92" s="176"/>
      <c r="BZ92" s="176"/>
    </row>
    <row r="93" spans="4:78" ht="18" customHeight="1" x14ac:dyDescent="0.2">
      <c r="D93" s="240"/>
      <c r="E93" s="242" t="s">
        <v>184</v>
      </c>
      <c r="F93" s="243" t="s">
        <v>113</v>
      </c>
      <c r="G93" s="244" t="s">
        <v>11</v>
      </c>
      <c r="H93" s="244">
        <v>1</v>
      </c>
      <c r="I93" s="245">
        <f>+$AR$552</f>
        <v>59894.03</v>
      </c>
      <c r="J93" s="245">
        <f>ROUND(I93*H93,2)</f>
        <v>59894.03</v>
      </c>
      <c r="K93" s="246"/>
      <c r="L93" s="247">
        <f>+J93/$K$120</f>
        <v>3.1468848039617952E-4</v>
      </c>
      <c r="M93" s="379">
        <f t="shared" si="20"/>
        <v>3.1468848039617952E-4</v>
      </c>
      <c r="P93" s="248"/>
      <c r="Q93" s="249"/>
      <c r="R93" s="219"/>
      <c r="S93" s="219"/>
      <c r="T93" s="215"/>
      <c r="U93" s="194"/>
      <c r="W93" s="143"/>
      <c r="X93" s="224" t="s">
        <v>54</v>
      </c>
      <c r="Y93" s="225" t="s">
        <v>55</v>
      </c>
      <c r="Z93" s="226">
        <v>0.7</v>
      </c>
      <c r="AA93" s="226">
        <v>1600.8</v>
      </c>
      <c r="AB93" s="215">
        <f>+ROUND(Z93*AA93,2)</f>
        <v>1120.56</v>
      </c>
      <c r="AC93" s="194"/>
      <c r="AD93" s="194"/>
      <c r="AE93" s="174"/>
      <c r="AF93" s="232" t="s">
        <v>51</v>
      </c>
      <c r="AG93" s="233"/>
      <c r="AH93" s="234"/>
      <c r="AI93" s="234"/>
      <c r="AJ93" s="235">
        <f>SUM(AJ91:AJ92)</f>
        <v>4045.38</v>
      </c>
      <c r="AK93" s="235"/>
      <c r="AL93" s="194"/>
      <c r="AM93" s="174"/>
      <c r="AN93" s="253" t="s">
        <v>63</v>
      </c>
      <c r="AO93" s="233"/>
      <c r="AP93" s="254" t="s">
        <v>64</v>
      </c>
      <c r="AQ93" s="255"/>
      <c r="AR93" s="256">
        <f>+AR84+AR89+AR92</f>
        <v>2093.67</v>
      </c>
      <c r="AS93" s="194"/>
      <c r="AT93" s="135"/>
      <c r="AU93" s="174"/>
      <c r="AV93" s="143"/>
      <c r="AW93" s="232" t="s">
        <v>51</v>
      </c>
      <c r="AX93" s="233"/>
      <c r="AY93" s="234"/>
      <c r="AZ93" s="234"/>
      <c r="BA93" s="235">
        <f>SUM(BA85:BA92)</f>
        <v>992.81000000000006</v>
      </c>
      <c r="BB93" s="235"/>
      <c r="BD93" s="248"/>
      <c r="BE93" s="249"/>
      <c r="BF93" s="219"/>
      <c r="BG93" s="219"/>
      <c r="BH93" s="215"/>
      <c r="BI93" s="194"/>
      <c r="BK93" s="164"/>
      <c r="BL93" s="149"/>
      <c r="BM93" s="194"/>
      <c r="BN93" s="194"/>
      <c r="BO93" s="194"/>
      <c r="BP93" s="176"/>
      <c r="BQ93" s="189"/>
      <c r="BR93" s="176"/>
      <c r="BS93" s="176"/>
      <c r="BT93" s="176"/>
      <c r="BU93" s="176"/>
      <c r="BV93" s="176"/>
      <c r="BW93" s="176"/>
      <c r="BX93" s="176"/>
      <c r="BY93" s="176"/>
      <c r="BZ93" s="176"/>
    </row>
    <row r="94" spans="4:78" ht="18" customHeight="1" x14ac:dyDescent="0.2">
      <c r="D94" s="240"/>
      <c r="E94" s="242" t="s">
        <v>185</v>
      </c>
      <c r="F94" s="243" t="s">
        <v>302</v>
      </c>
      <c r="G94" s="244" t="s">
        <v>11</v>
      </c>
      <c r="H94" s="244">
        <v>1</v>
      </c>
      <c r="I94" s="245">
        <f>+$AR$586</f>
        <v>58031660.880000003</v>
      </c>
      <c r="J94" s="245">
        <f>ROUND(I94*H94,2)</f>
        <v>58031660.880000003</v>
      </c>
      <c r="K94" s="246"/>
      <c r="L94" s="247">
        <f>+J94/$K$120</f>
        <v>0.30490342989432534</v>
      </c>
      <c r="M94" s="379">
        <f t="shared" si="20"/>
        <v>0.30490342989432534</v>
      </c>
      <c r="P94" s="232" t="s">
        <v>57</v>
      </c>
      <c r="Q94" s="233"/>
      <c r="R94" s="234"/>
      <c r="S94" s="234"/>
      <c r="T94" s="235">
        <f>SUM(T91:T93)</f>
        <v>1797.9099999999999</v>
      </c>
      <c r="V94" s="149"/>
      <c r="W94" s="143"/>
      <c r="X94" s="224" t="s">
        <v>56</v>
      </c>
      <c r="Y94" s="225" t="s">
        <v>55</v>
      </c>
      <c r="Z94" s="226">
        <v>0.7</v>
      </c>
      <c r="AA94" s="226">
        <v>1354.6999999999998</v>
      </c>
      <c r="AB94" s="215">
        <f>+ROUND(Z94*AA94,2)</f>
        <v>948.29</v>
      </c>
      <c r="AC94" s="194"/>
      <c r="AD94" s="194"/>
      <c r="AE94" s="174"/>
      <c r="AF94" s="197" t="s">
        <v>53</v>
      </c>
      <c r="AG94" s="198"/>
      <c r="AH94" s="199"/>
      <c r="AI94" s="199"/>
      <c r="AJ94" s="200"/>
      <c r="AK94" s="241">
        <f>+AJ91*AK87</f>
        <v>1237178.25</v>
      </c>
      <c r="AM94" s="174"/>
      <c r="AN94" s="152"/>
      <c r="AO94" s="148"/>
      <c r="AP94" s="206"/>
      <c r="AQ94" s="194"/>
      <c r="AR94" s="144"/>
      <c r="AS94" s="194"/>
      <c r="AT94" s="135"/>
      <c r="AU94" s="174"/>
      <c r="AV94" s="143"/>
      <c r="AW94" s="197" t="s">
        <v>53</v>
      </c>
      <c r="AX94" s="198"/>
      <c r="AY94" s="199"/>
      <c r="AZ94" s="199"/>
      <c r="BA94" s="200"/>
      <c r="BB94" s="135"/>
      <c r="BD94" s="232" t="s">
        <v>57</v>
      </c>
      <c r="BE94" s="233"/>
      <c r="BF94" s="234"/>
      <c r="BG94" s="234"/>
      <c r="BH94" s="235">
        <f>SUM(BH91:BH93)</f>
        <v>314019</v>
      </c>
      <c r="BI94" s="138">
        <f>+BH94/BH89</f>
        <v>0.30263250641980599</v>
      </c>
      <c r="BJ94" s="149"/>
      <c r="BK94" s="164"/>
      <c r="BL94" s="149"/>
      <c r="BM94" s="194"/>
      <c r="BN94" s="194"/>
      <c r="BO94" s="194"/>
      <c r="BP94" s="176"/>
      <c r="BQ94" s="189"/>
      <c r="BR94" s="176"/>
      <c r="BS94" s="176"/>
      <c r="BT94" s="176"/>
      <c r="BU94" s="176"/>
      <c r="BV94" s="176"/>
      <c r="BW94" s="176"/>
      <c r="BX94" s="176"/>
      <c r="BY94" s="176"/>
      <c r="BZ94" s="176"/>
    </row>
    <row r="95" spans="4:78" ht="18" customHeight="1" x14ac:dyDescent="0.2">
      <c r="D95" s="240"/>
      <c r="E95" s="259" t="s">
        <v>152</v>
      </c>
      <c r="F95" s="260" t="s">
        <v>140</v>
      </c>
      <c r="G95" s="244"/>
      <c r="H95" s="291"/>
      <c r="I95" s="401"/>
      <c r="J95" s="401"/>
      <c r="K95" s="292"/>
      <c r="L95" s="247"/>
      <c r="M95" s="379">
        <f t="shared" si="20"/>
        <v>0</v>
      </c>
      <c r="P95" s="197" t="s">
        <v>58</v>
      </c>
      <c r="Q95" s="198"/>
      <c r="R95" s="199"/>
      <c r="S95" s="199"/>
      <c r="T95" s="200"/>
      <c r="U95" s="153"/>
      <c r="W95" s="143"/>
      <c r="X95" s="248"/>
      <c r="Y95" s="249"/>
      <c r="Z95" s="219"/>
      <c r="AA95" s="219"/>
      <c r="AB95" s="215"/>
      <c r="AC95" s="194"/>
      <c r="AE95" s="174"/>
      <c r="AF95" s="224" t="s">
        <v>54</v>
      </c>
      <c r="AG95" s="225" t="s">
        <v>55</v>
      </c>
      <c r="AH95" s="226"/>
      <c r="AI95" s="226">
        <v>1600.8</v>
      </c>
      <c r="AJ95" s="215">
        <f>+ROUND(AH95*AI95,2)</f>
        <v>0</v>
      </c>
      <c r="AK95" s="194"/>
      <c r="AL95" s="149"/>
      <c r="AM95" s="174"/>
      <c r="AN95" s="155" t="s">
        <v>391</v>
      </c>
      <c r="AO95" s="169"/>
      <c r="AP95" s="172"/>
      <c r="AQ95" s="172"/>
      <c r="AR95" s="173"/>
      <c r="AS95" s="154"/>
      <c r="AT95" s="143"/>
      <c r="AU95" s="143"/>
      <c r="AV95" s="143"/>
      <c r="AW95" s="224" t="s">
        <v>54</v>
      </c>
      <c r="AX95" s="225" t="s">
        <v>55</v>
      </c>
      <c r="AY95" s="194">
        <v>0.4</v>
      </c>
      <c r="AZ95" s="226">
        <v>1600.8</v>
      </c>
      <c r="BA95" s="215">
        <f>+ROUND(AY95*AZ95,2)</f>
        <v>640.32000000000005</v>
      </c>
      <c r="BB95" s="153"/>
      <c r="BD95" s="197" t="s">
        <v>58</v>
      </c>
      <c r="BE95" s="198"/>
      <c r="BF95" s="199"/>
      <c r="BG95" s="199"/>
      <c r="BH95" s="200"/>
      <c r="BI95" s="153"/>
      <c r="BK95" s="164"/>
      <c r="BL95" s="149"/>
      <c r="BM95" s="194"/>
      <c r="BN95" s="194"/>
      <c r="BO95" s="194"/>
      <c r="BP95" s="176"/>
      <c r="BQ95" s="189"/>
      <c r="BR95" s="176"/>
      <c r="BS95" s="176"/>
      <c r="BT95" s="176"/>
      <c r="BU95" s="176"/>
      <c r="BV95" s="176"/>
      <c r="BW95" s="176"/>
      <c r="BX95" s="176"/>
      <c r="BY95" s="176"/>
      <c r="BZ95" s="176"/>
    </row>
    <row r="96" spans="4:78" ht="18" customHeight="1" x14ac:dyDescent="0.2">
      <c r="D96" s="240"/>
      <c r="E96" s="242" t="s">
        <v>186</v>
      </c>
      <c r="F96" s="402" t="s">
        <v>114</v>
      </c>
      <c r="G96" s="244" t="s">
        <v>11</v>
      </c>
      <c r="H96" s="291">
        <v>1</v>
      </c>
      <c r="I96" s="245">
        <f>+$AR$606</f>
        <v>8808061.5399999991</v>
      </c>
      <c r="J96" s="403">
        <f>ROUND(I96*H96,2)</f>
        <v>8808061.5399999991</v>
      </c>
      <c r="K96" s="292"/>
      <c r="L96" s="247">
        <f>+J96/$K$120</f>
        <v>4.6278326926049773E-2</v>
      </c>
      <c r="M96" s="379">
        <f t="shared" si="20"/>
        <v>4.6278326926049773E-2</v>
      </c>
      <c r="P96" s="252" t="s">
        <v>59</v>
      </c>
      <c r="Q96" s="213" t="s">
        <v>60</v>
      </c>
      <c r="R96" s="226">
        <v>60</v>
      </c>
      <c r="S96" s="226">
        <v>1.9600688000000004</v>
      </c>
      <c r="T96" s="215">
        <f>+ROUND(R96*S96,2)</f>
        <v>117.6</v>
      </c>
      <c r="U96" s="194"/>
      <c r="X96" s="232" t="s">
        <v>57</v>
      </c>
      <c r="Y96" s="233"/>
      <c r="Z96" s="234"/>
      <c r="AA96" s="234"/>
      <c r="AB96" s="235">
        <f>SUM(AB93:AB95)</f>
        <v>2068.85</v>
      </c>
      <c r="AC96" s="138">
        <f>+AB96/AB91</f>
        <v>0.16198020081050779</v>
      </c>
      <c r="AD96" s="149"/>
      <c r="AE96" s="174"/>
      <c r="AF96" s="224" t="s">
        <v>56</v>
      </c>
      <c r="AG96" s="225" t="s">
        <v>55</v>
      </c>
      <c r="AH96" s="226"/>
      <c r="AI96" s="226">
        <v>1354.6999999999998</v>
      </c>
      <c r="AJ96" s="215">
        <f>+ROUND(AH96*AI96,2)</f>
        <v>0</v>
      </c>
      <c r="AK96" s="194"/>
      <c r="AM96" s="174"/>
      <c r="AN96" s="177" t="s">
        <v>393</v>
      </c>
      <c r="AO96" s="150"/>
      <c r="AP96" s="178"/>
      <c r="AQ96" s="149"/>
      <c r="AR96" s="179" t="str">
        <f>$G$66</f>
        <v>m2</v>
      </c>
      <c r="AS96" s="180">
        <f>$H$66</f>
        <v>87.446899999999999</v>
      </c>
      <c r="AT96" s="143"/>
      <c r="AU96" s="143"/>
      <c r="AV96" s="143"/>
      <c r="AW96" s="224" t="s">
        <v>56</v>
      </c>
      <c r="AX96" s="225" t="s">
        <v>55</v>
      </c>
      <c r="AY96" s="194">
        <v>0.4</v>
      </c>
      <c r="AZ96" s="226">
        <v>1354.6999999999998</v>
      </c>
      <c r="BA96" s="215">
        <f>+ROUND(AY96*AZ96,2)</f>
        <v>541.88</v>
      </c>
      <c r="BB96" s="194"/>
      <c r="BD96" s="252" t="s">
        <v>59</v>
      </c>
      <c r="BE96" s="213" t="s">
        <v>60</v>
      </c>
      <c r="BF96" s="226">
        <v>550</v>
      </c>
      <c r="BG96" s="226">
        <v>1.9600688000000004</v>
      </c>
      <c r="BH96" s="215">
        <f>+ROUND(BF96*BG96,2)</f>
        <v>1078.04</v>
      </c>
      <c r="BI96" s="194"/>
      <c r="BK96" s="164"/>
      <c r="BL96" s="149"/>
      <c r="BM96" s="194"/>
      <c r="BN96" s="194"/>
      <c r="BO96" s="194"/>
      <c r="BP96" s="176"/>
      <c r="BQ96" s="189"/>
      <c r="BR96" s="176"/>
      <c r="BS96" s="176"/>
      <c r="BT96" s="176"/>
      <c r="BU96" s="176"/>
      <c r="BV96" s="176"/>
      <c r="BW96" s="176"/>
      <c r="BX96" s="176"/>
      <c r="BY96" s="176"/>
      <c r="BZ96" s="176"/>
    </row>
    <row r="97" spans="4:78" ht="18" customHeight="1" thickBot="1" x14ac:dyDescent="0.25">
      <c r="D97" s="240"/>
      <c r="E97" s="242" t="s">
        <v>187</v>
      </c>
      <c r="F97" s="402" t="s">
        <v>305</v>
      </c>
      <c r="G97" s="244" t="s">
        <v>11</v>
      </c>
      <c r="H97" s="291">
        <v>1</v>
      </c>
      <c r="I97" s="245">
        <f>+$AR$626</f>
        <v>4369139.54</v>
      </c>
      <c r="J97" s="403">
        <f t="shared" ref="J97:J98" si="22">ROUND(I97*H97,2)</f>
        <v>4369139.54</v>
      </c>
      <c r="K97" s="292"/>
      <c r="L97" s="247">
        <f>+J97/$K$120</f>
        <v>2.2955841884098681E-2</v>
      </c>
      <c r="M97" s="379">
        <f t="shared" si="20"/>
        <v>2.2955841884098681E-2</v>
      </c>
      <c r="P97" s="202" t="s">
        <v>62</v>
      </c>
      <c r="Q97" s="250"/>
      <c r="R97" s="168"/>
      <c r="S97" s="168"/>
      <c r="T97" s="251">
        <f>SUM(T96:T96)</f>
        <v>117.6</v>
      </c>
      <c r="U97" s="194"/>
      <c r="V97" s="135"/>
      <c r="X97" s="197" t="s">
        <v>58</v>
      </c>
      <c r="Y97" s="198"/>
      <c r="Z97" s="199"/>
      <c r="AA97" s="199"/>
      <c r="AB97" s="200"/>
      <c r="AC97" s="153"/>
      <c r="AE97" s="174"/>
      <c r="AF97" s="248"/>
      <c r="AG97" s="249"/>
      <c r="AH97" s="219"/>
      <c r="AI97" s="219"/>
      <c r="AJ97" s="215"/>
      <c r="AK97" s="194"/>
      <c r="AM97" s="174"/>
      <c r="AN97" s="347"/>
      <c r="AO97" s="348"/>
      <c r="AP97" s="349"/>
      <c r="AQ97" s="349"/>
      <c r="AR97" s="350"/>
      <c r="AS97" s="412"/>
      <c r="AT97" s="143"/>
      <c r="AU97" s="143"/>
      <c r="AV97" s="143"/>
      <c r="AW97" s="224"/>
      <c r="AX97" s="225"/>
      <c r="AY97" s="226"/>
      <c r="AZ97" s="226"/>
      <c r="BA97" s="215"/>
      <c r="BB97" s="194"/>
      <c r="BD97" s="202" t="s">
        <v>62</v>
      </c>
      <c r="BE97" s="250"/>
      <c r="BF97" s="168"/>
      <c r="BG97" s="168"/>
      <c r="BH97" s="251">
        <f>SUM(BH96:BH96)</f>
        <v>1078.04</v>
      </c>
      <c r="BI97" s="194"/>
      <c r="BJ97" s="135"/>
      <c r="BK97" s="164"/>
      <c r="BL97" s="149"/>
      <c r="BM97" s="194"/>
      <c r="BN97" s="194"/>
      <c r="BO97" s="194"/>
      <c r="BP97" s="176"/>
      <c r="BQ97" s="189"/>
      <c r="BR97" s="176"/>
      <c r="BS97" s="176"/>
      <c r="BT97" s="176"/>
      <c r="BU97" s="176"/>
      <c r="BV97" s="176"/>
      <c r="BW97" s="176"/>
      <c r="BX97" s="176"/>
      <c r="BY97" s="176"/>
      <c r="BZ97" s="176"/>
    </row>
    <row r="98" spans="4:78" ht="18" customHeight="1" thickTop="1" x14ac:dyDescent="0.2">
      <c r="D98" s="240"/>
      <c r="E98" s="242" t="s">
        <v>303</v>
      </c>
      <c r="F98" s="402" t="s">
        <v>306</v>
      </c>
      <c r="G98" s="244" t="s">
        <v>11</v>
      </c>
      <c r="H98" s="291">
        <v>1</v>
      </c>
      <c r="I98" s="245">
        <f>+$AR$646</f>
        <v>3884414.01</v>
      </c>
      <c r="J98" s="403">
        <f t="shared" si="22"/>
        <v>3884414.01</v>
      </c>
      <c r="K98" s="292"/>
      <c r="L98" s="247">
        <f>+J98/$K$120</f>
        <v>2.0409051487043535E-2</v>
      </c>
      <c r="M98" s="379">
        <f t="shared" si="20"/>
        <v>2.0409051487043535E-2</v>
      </c>
      <c r="P98" s="253" t="s">
        <v>63</v>
      </c>
      <c r="Q98" s="233"/>
      <c r="R98" s="254" t="s">
        <v>64</v>
      </c>
      <c r="S98" s="255"/>
      <c r="T98" s="256">
        <f>+T89+T94+T97</f>
        <v>1915.5099999999998</v>
      </c>
      <c r="U98" s="194"/>
      <c r="V98" s="135"/>
      <c r="X98" s="252" t="s">
        <v>59</v>
      </c>
      <c r="Y98" s="213" t="s">
        <v>60</v>
      </c>
      <c r="Z98" s="226">
        <v>57.7</v>
      </c>
      <c r="AA98" s="226">
        <v>1.9600688000000004</v>
      </c>
      <c r="AB98" s="215">
        <f>+ROUND(Z98*AA98,2)</f>
        <v>113.1</v>
      </c>
      <c r="AC98" s="194"/>
      <c r="AE98" s="174"/>
      <c r="AF98" s="232" t="s">
        <v>57</v>
      </c>
      <c r="AG98" s="233"/>
      <c r="AH98" s="234"/>
      <c r="AI98" s="234"/>
      <c r="AJ98" s="235">
        <f>SUM(AJ95:AJ97)</f>
        <v>0</v>
      </c>
      <c r="AM98" s="174"/>
      <c r="AN98" s="293" t="s">
        <v>31</v>
      </c>
      <c r="AO98" s="294" t="s">
        <v>32</v>
      </c>
      <c r="AP98" s="294" t="s">
        <v>33</v>
      </c>
      <c r="AQ98" s="294" t="s">
        <v>1</v>
      </c>
      <c r="AR98" s="294" t="s">
        <v>34</v>
      </c>
      <c r="AS98" s="295" t="s">
        <v>76</v>
      </c>
      <c r="AT98" s="143"/>
      <c r="AU98" s="143"/>
      <c r="AV98" s="143"/>
      <c r="AW98" s="232" t="s">
        <v>57</v>
      </c>
      <c r="AX98" s="233"/>
      <c r="AY98" s="234"/>
      <c r="AZ98" s="234"/>
      <c r="BA98" s="235">
        <f>SUM(BA95:BA97)</f>
        <v>1182.2</v>
      </c>
      <c r="BB98" s="241"/>
      <c r="BD98" s="253" t="s">
        <v>63</v>
      </c>
      <c r="BE98" s="233"/>
      <c r="BF98" s="254" t="s">
        <v>64</v>
      </c>
      <c r="BG98" s="255"/>
      <c r="BH98" s="256">
        <f>+BH89+BH94+BH97</f>
        <v>1352721.8599999999</v>
      </c>
      <c r="BI98" s="194"/>
      <c r="BJ98" s="135"/>
      <c r="BK98" s="144"/>
      <c r="BL98" s="149"/>
      <c r="BM98" s="194"/>
      <c r="BN98" s="194"/>
      <c r="BO98" s="194"/>
      <c r="BP98" s="176"/>
      <c r="BQ98" s="147"/>
      <c r="BR98" s="176"/>
      <c r="BS98" s="176"/>
      <c r="BT98" s="176"/>
      <c r="BU98" s="176"/>
      <c r="BV98" s="176"/>
      <c r="BW98" s="176"/>
      <c r="BX98" s="176"/>
      <c r="BY98" s="176"/>
      <c r="BZ98" s="176"/>
    </row>
    <row r="99" spans="4:78" ht="18" customHeight="1" x14ac:dyDescent="0.2">
      <c r="D99" s="240"/>
      <c r="E99" s="242" t="s">
        <v>304</v>
      </c>
      <c r="F99" s="402" t="s">
        <v>197</v>
      </c>
      <c r="G99" s="244" t="s">
        <v>11</v>
      </c>
      <c r="H99" s="291">
        <v>1</v>
      </c>
      <c r="I99" s="245">
        <f>+$AR$666</f>
        <v>7688420.5999999996</v>
      </c>
      <c r="J99" s="403">
        <f>ROUND(I99*H99,2)</f>
        <v>7688420.5999999996</v>
      </c>
      <c r="K99" s="292"/>
      <c r="L99" s="247">
        <f>+J99/$K$120</f>
        <v>4.039563534563767E-2</v>
      </c>
      <c r="M99" s="379">
        <f t="shared" si="20"/>
        <v>4.039563534563767E-2</v>
      </c>
      <c r="P99" s="194"/>
      <c r="Q99" s="148"/>
      <c r="R99" s="206"/>
      <c r="S99" s="194"/>
      <c r="T99" s="144"/>
      <c r="U99" s="194"/>
      <c r="V99" s="135"/>
      <c r="X99" s="202" t="s">
        <v>62</v>
      </c>
      <c r="Y99" s="250"/>
      <c r="Z99" s="168"/>
      <c r="AA99" s="168"/>
      <c r="AB99" s="251">
        <f>SUM(AB98:AB98)</f>
        <v>113.1</v>
      </c>
      <c r="AC99" s="194"/>
      <c r="AD99" s="135"/>
      <c r="AE99" s="174"/>
      <c r="AF99" s="197" t="s">
        <v>58</v>
      </c>
      <c r="AG99" s="198"/>
      <c r="AH99" s="199"/>
      <c r="AI99" s="199"/>
      <c r="AJ99" s="200"/>
      <c r="AK99" s="153"/>
      <c r="AM99" s="174"/>
      <c r="AN99" s="296" t="s">
        <v>37</v>
      </c>
      <c r="AO99" s="297"/>
      <c r="AP99" s="298"/>
      <c r="AQ99" s="298"/>
      <c r="AR99" s="299"/>
      <c r="AS99" s="300"/>
      <c r="AT99" s="143"/>
      <c r="AU99" s="143"/>
      <c r="AV99" s="143"/>
      <c r="AW99" s="197" t="s">
        <v>58</v>
      </c>
      <c r="AX99" s="198"/>
      <c r="AY99" s="199"/>
      <c r="AZ99" s="199"/>
      <c r="BA99" s="200"/>
      <c r="BD99" s="152"/>
      <c r="BE99" s="153"/>
      <c r="BF99" s="145"/>
      <c r="BG99" s="145"/>
      <c r="BH99" s="145"/>
      <c r="BI99" s="154"/>
      <c r="BK99" s="164"/>
      <c r="BL99" s="149"/>
      <c r="BM99" s="194"/>
      <c r="BN99" s="194"/>
      <c r="BO99" s="194"/>
      <c r="BP99" s="176"/>
      <c r="BQ99" s="147"/>
      <c r="BR99" s="176"/>
      <c r="BS99" s="176"/>
      <c r="BT99" s="176"/>
      <c r="BU99" s="176"/>
      <c r="BV99" s="176"/>
      <c r="BW99" s="176"/>
      <c r="BX99" s="176"/>
      <c r="BY99" s="176"/>
      <c r="BZ99" s="176"/>
    </row>
    <row r="100" spans="4:78" ht="18" customHeight="1" x14ac:dyDescent="0.2">
      <c r="D100" s="240"/>
      <c r="E100" s="395">
        <v>15</v>
      </c>
      <c r="F100" s="396" t="s">
        <v>149</v>
      </c>
      <c r="G100" s="397"/>
      <c r="H100" s="398"/>
      <c r="I100" s="398"/>
      <c r="J100" s="398"/>
      <c r="K100" s="399">
        <f>SUM(J101)</f>
        <v>14126027.640000001</v>
      </c>
      <c r="L100" s="400">
        <f>+K100/$K$120</f>
        <v>7.4219386674532178E-2</v>
      </c>
      <c r="M100" s="379"/>
      <c r="P100" s="155" t="s">
        <v>344</v>
      </c>
      <c r="Q100" s="169"/>
      <c r="R100" s="172"/>
      <c r="S100" s="172"/>
      <c r="T100" s="173"/>
      <c r="U100" s="154"/>
      <c r="V100" s="135"/>
      <c r="W100" s="143"/>
      <c r="X100" s="253" t="s">
        <v>63</v>
      </c>
      <c r="Y100" s="233"/>
      <c r="Z100" s="254" t="s">
        <v>64</v>
      </c>
      <c r="AA100" s="255"/>
      <c r="AB100" s="256">
        <f>+AB91+AB96+AB99</f>
        <v>14954.19</v>
      </c>
      <c r="AC100" s="194"/>
      <c r="AD100" s="135"/>
      <c r="AE100" s="174"/>
      <c r="AF100" s="252" t="s">
        <v>59</v>
      </c>
      <c r="AG100" s="213" t="s">
        <v>60</v>
      </c>
      <c r="AH100" s="226">
        <v>40</v>
      </c>
      <c r="AI100" s="226">
        <v>1.9600688000000004</v>
      </c>
      <c r="AJ100" s="215">
        <f>+ROUND(AH100*AI100,2)</f>
        <v>78.400000000000006</v>
      </c>
      <c r="AK100" s="194"/>
      <c r="AM100" s="174"/>
      <c r="AN100" s="301" t="s">
        <v>229</v>
      </c>
      <c r="AO100" s="302" t="s">
        <v>6</v>
      </c>
      <c r="AP100" s="303">
        <v>1.05</v>
      </c>
      <c r="AQ100" s="303">
        <v>7084.81</v>
      </c>
      <c r="AR100" s="215">
        <f>+ROUND(AP100*AQ100,2)</f>
        <v>7439.05</v>
      </c>
      <c r="AS100" s="300"/>
      <c r="AT100" s="143"/>
      <c r="AU100" s="143"/>
      <c r="AV100" s="143"/>
      <c r="AW100" s="252" t="s">
        <v>59</v>
      </c>
      <c r="AX100" s="213" t="s">
        <v>60</v>
      </c>
      <c r="AY100" s="226">
        <v>1.4349999999999998</v>
      </c>
      <c r="AZ100" s="226">
        <v>1.9600688000000004</v>
      </c>
      <c r="BA100" s="215">
        <f>+ROUND(AY100*AZ100,2)</f>
        <v>2.81</v>
      </c>
      <c r="BB100" s="153"/>
      <c r="BD100" s="155" t="s">
        <v>435</v>
      </c>
      <c r="BE100" s="169"/>
      <c r="BF100" s="172"/>
      <c r="BG100" s="172"/>
      <c r="BH100" s="173"/>
      <c r="BI100" s="154"/>
      <c r="BJ100" s="175"/>
      <c r="BK100" s="164"/>
      <c r="BL100" s="149"/>
      <c r="BM100" s="194"/>
      <c r="BN100" s="194"/>
      <c r="BO100" s="194"/>
      <c r="BP100" s="176"/>
      <c r="BQ100" s="147"/>
      <c r="BR100" s="176"/>
      <c r="BS100" s="176"/>
      <c r="BT100" s="176"/>
      <c r="BU100" s="176"/>
      <c r="BV100" s="176"/>
      <c r="BW100" s="176"/>
      <c r="BX100" s="176"/>
      <c r="BY100" s="176"/>
      <c r="BZ100" s="176"/>
    </row>
    <row r="101" spans="4:78" ht="18" customHeight="1" x14ac:dyDescent="0.2">
      <c r="D101" s="240"/>
      <c r="E101" s="242" t="s">
        <v>154</v>
      </c>
      <c r="F101" s="243" t="s">
        <v>150</v>
      </c>
      <c r="G101" s="244" t="s">
        <v>11</v>
      </c>
      <c r="H101" s="244">
        <v>1</v>
      </c>
      <c r="I101" s="245">
        <f>+$BA$21</f>
        <v>14126027.639999999</v>
      </c>
      <c r="J101" s="245">
        <f>ROUND(I101*H101,2)</f>
        <v>14126027.640000001</v>
      </c>
      <c r="K101" s="246"/>
      <c r="L101" s="247">
        <f>+J101/$K$120</f>
        <v>7.4219386674532178E-2</v>
      </c>
      <c r="M101" s="379">
        <f t="shared" si="20"/>
        <v>7.4219386674532178E-2</v>
      </c>
      <c r="P101" s="177" t="s">
        <v>348</v>
      </c>
      <c r="Q101" s="150"/>
      <c r="R101" s="178"/>
      <c r="S101" s="149"/>
      <c r="T101" s="179" t="str">
        <f>$G$19</f>
        <v>ml</v>
      </c>
      <c r="U101" s="180">
        <f>$H$19</f>
        <v>18.77</v>
      </c>
      <c r="V101" s="163"/>
      <c r="W101" s="143"/>
      <c r="X101" s="152"/>
      <c r="Y101" s="148"/>
      <c r="Z101" s="206"/>
      <c r="AA101" s="194"/>
      <c r="AB101" s="144"/>
      <c r="AC101" s="194"/>
      <c r="AD101" s="135"/>
      <c r="AE101" s="174"/>
      <c r="AF101" s="202" t="s">
        <v>62</v>
      </c>
      <c r="AG101" s="250"/>
      <c r="AH101" s="168"/>
      <c r="AI101" s="168"/>
      <c r="AJ101" s="251">
        <f>SUM(AJ100:AJ100)</f>
        <v>78.400000000000006</v>
      </c>
      <c r="AK101" s="194"/>
      <c r="AM101" s="174"/>
      <c r="AN101" s="301" t="s">
        <v>230</v>
      </c>
      <c r="AO101" s="302" t="s">
        <v>39</v>
      </c>
      <c r="AP101" s="303">
        <v>8.8000000000000007</v>
      </c>
      <c r="AQ101" s="303">
        <v>253.56666666666666</v>
      </c>
      <c r="AR101" s="215">
        <f t="shared" ref="AR101:AR104" si="23">+ROUND(AP101*AQ101,2)</f>
        <v>2231.39</v>
      </c>
      <c r="AS101" s="300"/>
      <c r="AT101" s="143"/>
      <c r="AU101" s="143"/>
      <c r="AV101" s="143"/>
      <c r="AW101" s="202" t="s">
        <v>62</v>
      </c>
      <c r="AX101" s="250"/>
      <c r="AY101" s="168"/>
      <c r="AZ101" s="168"/>
      <c r="BA101" s="251">
        <f>SUM(BA100:BA100)</f>
        <v>2.81</v>
      </c>
      <c r="BB101" s="194"/>
      <c r="BD101" s="177" t="s">
        <v>441</v>
      </c>
      <c r="BE101" s="150"/>
      <c r="BF101" s="178"/>
      <c r="BG101" s="149"/>
      <c r="BH101" s="179" t="str">
        <f>$G$117</f>
        <v>UN</v>
      </c>
      <c r="BI101" s="180">
        <f>$H$117</f>
        <v>1</v>
      </c>
      <c r="BJ101" s="181"/>
      <c r="BK101" s="164"/>
      <c r="BL101" s="149"/>
      <c r="BM101" s="194"/>
      <c r="BN101" s="194"/>
      <c r="BO101" s="194"/>
      <c r="BP101" s="176"/>
      <c r="BQ101" s="147"/>
      <c r="BR101" s="176"/>
      <c r="BS101" s="176"/>
      <c r="BT101" s="176"/>
      <c r="BU101" s="176"/>
      <c r="BV101" s="176"/>
      <c r="BW101" s="176"/>
      <c r="BX101" s="176"/>
      <c r="BY101" s="176"/>
      <c r="BZ101" s="176"/>
    </row>
    <row r="102" spans="4:78" ht="18" customHeight="1" thickBot="1" x14ac:dyDescent="0.25">
      <c r="D102" s="240"/>
      <c r="E102" s="395">
        <v>16</v>
      </c>
      <c r="F102" s="396" t="s">
        <v>91</v>
      </c>
      <c r="G102" s="397"/>
      <c r="H102" s="398"/>
      <c r="I102" s="398"/>
      <c r="J102" s="398"/>
      <c r="K102" s="399">
        <f>SUM(J103:J105)</f>
        <v>22753872.990000002</v>
      </c>
      <c r="L102" s="400">
        <f>+K102/$K$120</f>
        <v>0.11955084195120573</v>
      </c>
      <c r="M102" s="379"/>
      <c r="P102" s="183"/>
      <c r="Q102" s="184"/>
      <c r="R102" s="185"/>
      <c r="S102" s="185"/>
      <c r="T102" s="186"/>
      <c r="V102" s="145"/>
      <c r="W102" s="143"/>
      <c r="X102" s="155" t="s">
        <v>354</v>
      </c>
      <c r="Y102" s="169"/>
      <c r="Z102" s="172"/>
      <c r="AA102" s="172"/>
      <c r="AB102" s="173"/>
      <c r="AC102" s="154"/>
      <c r="AD102" s="135"/>
      <c r="AE102" s="174"/>
      <c r="AF102" s="253" t="s">
        <v>63</v>
      </c>
      <c r="AG102" s="233"/>
      <c r="AH102" s="254" t="s">
        <v>64</v>
      </c>
      <c r="AI102" s="255"/>
      <c r="AJ102" s="256">
        <f>+AJ93+AJ98+AJ101</f>
        <v>4123.78</v>
      </c>
      <c r="AK102" s="194"/>
      <c r="AL102" s="163"/>
      <c r="AM102" s="174"/>
      <c r="AN102" s="301" t="s">
        <v>231</v>
      </c>
      <c r="AO102" s="302" t="s">
        <v>39</v>
      </c>
      <c r="AP102" s="303">
        <v>0.6</v>
      </c>
      <c r="AQ102" s="303">
        <v>927.5</v>
      </c>
      <c r="AR102" s="215">
        <f t="shared" si="23"/>
        <v>556.5</v>
      </c>
      <c r="AS102" s="300"/>
      <c r="AT102" s="143"/>
      <c r="AU102" s="143"/>
      <c r="AV102" s="143"/>
      <c r="AW102" s="253" t="s">
        <v>63</v>
      </c>
      <c r="AX102" s="233"/>
      <c r="AY102" s="254" t="s">
        <v>64</v>
      </c>
      <c r="AZ102" s="255"/>
      <c r="BA102" s="256">
        <f>+BA93+BA98+BA101</f>
        <v>2177.8200000000002</v>
      </c>
      <c r="BB102" s="194"/>
      <c r="BD102" s="183"/>
      <c r="BE102" s="184"/>
      <c r="BF102" s="185"/>
      <c r="BG102" s="185"/>
      <c r="BH102" s="186"/>
      <c r="BJ102" s="181"/>
      <c r="BK102" s="164"/>
      <c r="BL102" s="149"/>
      <c r="BM102" s="194"/>
      <c r="BN102" s="194"/>
      <c r="BO102" s="194"/>
      <c r="BP102" s="176"/>
      <c r="BQ102" s="147"/>
      <c r="BR102" s="176"/>
      <c r="BS102" s="176"/>
      <c r="BT102" s="176"/>
      <c r="BU102" s="176"/>
      <c r="BV102" s="176"/>
      <c r="BW102" s="176"/>
      <c r="BX102" s="176"/>
      <c r="BY102" s="176"/>
      <c r="BZ102" s="176"/>
    </row>
    <row r="103" spans="4:78" ht="18" customHeight="1" thickTop="1" x14ac:dyDescent="0.2">
      <c r="D103" s="240"/>
      <c r="E103" s="242" t="s">
        <v>155</v>
      </c>
      <c r="F103" s="243" t="s">
        <v>153</v>
      </c>
      <c r="G103" s="244" t="s">
        <v>11</v>
      </c>
      <c r="H103" s="244">
        <v>1</v>
      </c>
      <c r="I103" s="245">
        <f>+$BA$40</f>
        <v>118925.62</v>
      </c>
      <c r="J103" s="245">
        <f>ROUND(I103*H103,2)</f>
        <v>118925.62</v>
      </c>
      <c r="K103" s="246"/>
      <c r="L103" s="247">
        <f>+J103/$K$120</f>
        <v>6.2484562548176335E-4</v>
      </c>
      <c r="M103" s="379">
        <f t="shared" si="20"/>
        <v>6.2484562548176335E-4</v>
      </c>
      <c r="P103" s="191" t="s">
        <v>31</v>
      </c>
      <c r="Q103" s="192" t="s">
        <v>32</v>
      </c>
      <c r="R103" s="192" t="s">
        <v>33</v>
      </c>
      <c r="S103" s="192" t="s">
        <v>1</v>
      </c>
      <c r="T103" s="192" t="s">
        <v>34</v>
      </c>
      <c r="U103" s="193" t="s">
        <v>76</v>
      </c>
      <c r="V103" s="153"/>
      <c r="W103" s="143"/>
      <c r="X103" s="177" t="s">
        <v>360</v>
      </c>
      <c r="Y103" s="150"/>
      <c r="Z103" s="178"/>
      <c r="AA103" s="149"/>
      <c r="AB103" s="179" t="str">
        <f>$G$33</f>
        <v>ml</v>
      </c>
      <c r="AC103" s="180">
        <f>$H$33</f>
        <v>13.640000000000002</v>
      </c>
      <c r="AD103" s="163"/>
      <c r="AE103" s="174"/>
      <c r="AF103" s="152"/>
      <c r="AG103" s="153"/>
      <c r="AH103" s="145"/>
      <c r="AI103" s="145"/>
      <c r="AJ103" s="145"/>
      <c r="AK103" s="154"/>
      <c r="AL103" s="145"/>
      <c r="AM103" s="174"/>
      <c r="AN103" s="301" t="s">
        <v>243</v>
      </c>
      <c r="AO103" s="302" t="s">
        <v>4</v>
      </c>
      <c r="AP103" s="303">
        <v>0.12850574712643678</v>
      </c>
      <c r="AQ103" s="303">
        <v>4154.3999999999996</v>
      </c>
      <c r="AR103" s="215">
        <f>+ROUND(AP103*AQ103,2)</f>
        <v>533.86</v>
      </c>
      <c r="AS103" s="300"/>
      <c r="AT103" s="143"/>
      <c r="AU103" s="143"/>
      <c r="AV103" s="143"/>
      <c r="AW103" s="182"/>
      <c r="AX103" s="153"/>
      <c r="AY103" s="153"/>
      <c r="AZ103" s="153"/>
      <c r="BA103" s="153"/>
      <c r="BB103" s="194"/>
      <c r="BD103" s="191" t="s">
        <v>31</v>
      </c>
      <c r="BE103" s="192" t="s">
        <v>32</v>
      </c>
      <c r="BF103" s="192" t="s">
        <v>33</v>
      </c>
      <c r="BG103" s="192" t="s">
        <v>1</v>
      </c>
      <c r="BH103" s="192" t="s">
        <v>34</v>
      </c>
      <c r="BI103" s="193" t="s">
        <v>76</v>
      </c>
      <c r="BJ103" s="194"/>
      <c r="BK103" s="164"/>
      <c r="BL103" s="194"/>
      <c r="BM103" s="194"/>
      <c r="BN103" s="194"/>
      <c r="BO103" s="194"/>
      <c r="BP103" s="176"/>
      <c r="BQ103" s="189"/>
      <c r="BR103" s="176"/>
      <c r="BS103" s="176"/>
      <c r="BT103" s="176"/>
      <c r="BU103" s="176"/>
      <c r="BV103" s="176"/>
      <c r="BW103" s="176"/>
      <c r="BX103" s="176"/>
      <c r="BY103" s="176"/>
      <c r="BZ103" s="176"/>
    </row>
    <row r="104" spans="4:78" ht="18" customHeight="1" thickBot="1" x14ac:dyDescent="0.25">
      <c r="D104" s="240"/>
      <c r="E104" s="242" t="s">
        <v>156</v>
      </c>
      <c r="F104" s="243" t="s">
        <v>239</v>
      </c>
      <c r="G104" s="244" t="s">
        <v>11</v>
      </c>
      <c r="H104" s="244">
        <v>1</v>
      </c>
      <c r="I104" s="245">
        <f>+$BA$59</f>
        <v>21855605.890000001</v>
      </c>
      <c r="J104" s="245">
        <f>ROUND(I104*H104,2)</f>
        <v>21855605.890000001</v>
      </c>
      <c r="K104" s="246"/>
      <c r="L104" s="247">
        <f>+J104/$K$120</f>
        <v>0.11483126791872064</v>
      </c>
      <c r="M104" s="379">
        <f t="shared" si="20"/>
        <v>0.11483126791872064</v>
      </c>
      <c r="P104" s="197" t="s">
        <v>37</v>
      </c>
      <c r="Q104" s="198"/>
      <c r="R104" s="199"/>
      <c r="S104" s="199"/>
      <c r="T104" s="200"/>
      <c r="U104" s="201"/>
      <c r="V104" s="153"/>
      <c r="W104" s="143"/>
      <c r="X104" s="183"/>
      <c r="Y104" s="184"/>
      <c r="Z104" s="185"/>
      <c r="AA104" s="185"/>
      <c r="AB104" s="186"/>
      <c r="AD104" s="145"/>
      <c r="AE104" s="174"/>
      <c r="AF104" s="155" t="s">
        <v>372</v>
      </c>
      <c r="AG104" s="169"/>
      <c r="AH104" s="172"/>
      <c r="AI104" s="172"/>
      <c r="AJ104" s="173"/>
      <c r="AK104" s="154"/>
      <c r="AL104" s="163"/>
      <c r="AM104" s="174"/>
      <c r="AN104" s="305" t="s">
        <v>50</v>
      </c>
      <c r="AO104" s="306" t="s">
        <v>28</v>
      </c>
      <c r="AP104" s="307">
        <v>0.03</v>
      </c>
      <c r="AQ104" s="308">
        <v>10226.94</v>
      </c>
      <c r="AR104" s="215">
        <f t="shared" si="23"/>
        <v>306.81</v>
      </c>
      <c r="AS104" s="300"/>
      <c r="AT104" s="143"/>
      <c r="AU104" s="143"/>
      <c r="AV104" s="143"/>
      <c r="AW104" s="155" t="s">
        <v>430</v>
      </c>
      <c r="AX104" s="169"/>
      <c r="AY104" s="172"/>
      <c r="AZ104" s="172"/>
      <c r="BA104" s="173"/>
      <c r="BB104" s="154"/>
      <c r="BD104" s="197" t="s">
        <v>37</v>
      </c>
      <c r="BE104" s="198"/>
      <c r="BF104" s="199"/>
      <c r="BG104" s="199"/>
      <c r="BH104" s="200"/>
      <c r="BI104" s="201"/>
      <c r="BJ104" s="194"/>
      <c r="BK104" s="164"/>
      <c r="BL104" s="144"/>
      <c r="BM104" s="194"/>
      <c r="BN104" s="194"/>
      <c r="BO104" s="194"/>
      <c r="BP104" s="176"/>
      <c r="BQ104" s="279"/>
      <c r="BR104" s="176"/>
      <c r="BS104" s="176"/>
      <c r="BT104" s="176"/>
      <c r="BU104" s="176"/>
      <c r="BV104" s="176"/>
      <c r="BW104" s="176"/>
      <c r="BX104" s="176"/>
      <c r="BY104" s="176"/>
      <c r="BZ104" s="176"/>
    </row>
    <row r="105" spans="4:78" ht="18" customHeight="1" thickTop="1" x14ac:dyDescent="0.2">
      <c r="D105" s="240"/>
      <c r="E105" s="242" t="s">
        <v>240</v>
      </c>
      <c r="F105" s="243" t="s">
        <v>325</v>
      </c>
      <c r="G105" s="244" t="s">
        <v>35</v>
      </c>
      <c r="H105" s="244">
        <v>2</v>
      </c>
      <c r="I105" s="245">
        <f>+$BA$78</f>
        <v>389670.74000000005</v>
      </c>
      <c r="J105" s="245">
        <f>ROUND(I105*H105,2)</f>
        <v>779341.48</v>
      </c>
      <c r="K105" s="246"/>
      <c r="L105" s="247">
        <f>+J105/$K$120</f>
        <v>4.0947284070033283E-3</v>
      </c>
      <c r="M105" s="379">
        <f t="shared" si="20"/>
        <v>4.0947284070033283E-3</v>
      </c>
      <c r="P105" s="216"/>
      <c r="Q105" s="213"/>
      <c r="R105" s="214"/>
      <c r="S105" s="214"/>
      <c r="T105" s="215">
        <f>+ROUND(R105*S105,2)</f>
        <v>0</v>
      </c>
      <c r="U105" s="201"/>
      <c r="V105" s="176"/>
      <c r="W105" s="143"/>
      <c r="X105" s="191" t="s">
        <v>31</v>
      </c>
      <c r="Y105" s="192" t="s">
        <v>32</v>
      </c>
      <c r="Z105" s="192" t="s">
        <v>33</v>
      </c>
      <c r="AA105" s="192" t="s">
        <v>1</v>
      </c>
      <c r="AB105" s="192" t="s">
        <v>34</v>
      </c>
      <c r="AC105" s="193" t="s">
        <v>76</v>
      </c>
      <c r="AD105" s="153"/>
      <c r="AE105" s="174"/>
      <c r="AF105" s="177" t="s">
        <v>374</v>
      </c>
      <c r="AG105" s="150"/>
      <c r="AH105" s="178"/>
      <c r="AI105" s="149"/>
      <c r="AJ105" s="179" t="str">
        <f>$G$47</f>
        <v>m2</v>
      </c>
      <c r="AK105" s="180">
        <f>$H$47</f>
        <v>120</v>
      </c>
      <c r="AL105" s="145"/>
      <c r="AM105" s="174"/>
      <c r="AN105" s="309" t="s">
        <v>51</v>
      </c>
      <c r="AO105" s="310"/>
      <c r="AP105" s="311"/>
      <c r="AQ105" s="311"/>
      <c r="AR105" s="312">
        <f>SUM(AR100:AR104)</f>
        <v>11067.61</v>
      </c>
      <c r="AS105" s="312"/>
      <c r="AT105" s="143"/>
      <c r="AU105" s="143"/>
      <c r="AV105" s="143"/>
      <c r="AW105" s="177" t="s">
        <v>432</v>
      </c>
      <c r="AX105" s="150"/>
      <c r="AY105" s="178"/>
      <c r="AZ105" s="149"/>
      <c r="BA105" s="179" t="str">
        <f>$G$108</f>
        <v>m2</v>
      </c>
      <c r="BB105" s="180">
        <f>$H$108</f>
        <v>232.28800000000001</v>
      </c>
      <c r="BD105" s="216" t="s">
        <v>441</v>
      </c>
      <c r="BE105" s="213" t="s">
        <v>35</v>
      </c>
      <c r="BF105" s="214">
        <v>1</v>
      </c>
      <c r="BG105" s="214">
        <v>104900</v>
      </c>
      <c r="BH105" s="217">
        <f>ROUND((BG105*BF105),2)</f>
        <v>104900</v>
      </c>
      <c r="BI105" s="201"/>
      <c r="BJ105" s="241">
        <f>+BH105*BI101</f>
        <v>104900</v>
      </c>
      <c r="BK105" s="164"/>
      <c r="BL105" s="144"/>
      <c r="BM105" s="194"/>
      <c r="BN105" s="194"/>
      <c r="BO105" s="194"/>
      <c r="BP105" s="176"/>
      <c r="BQ105" s="279"/>
      <c r="BR105" s="176"/>
      <c r="BS105" s="176"/>
      <c r="BT105" s="176"/>
      <c r="BU105" s="176"/>
      <c r="BV105" s="176"/>
      <c r="BW105" s="176"/>
      <c r="BX105" s="176"/>
      <c r="BY105" s="176"/>
      <c r="BZ105" s="176"/>
    </row>
    <row r="106" spans="4:78" ht="18" customHeight="1" thickBot="1" x14ac:dyDescent="0.25">
      <c r="D106" s="149"/>
      <c r="E106" s="395">
        <v>17</v>
      </c>
      <c r="F106" s="396" t="s">
        <v>108</v>
      </c>
      <c r="G106" s="397"/>
      <c r="H106" s="398"/>
      <c r="I106" s="398"/>
      <c r="J106" s="398"/>
      <c r="K106" s="399">
        <f>SUM(J107:J110)</f>
        <v>4616538.59</v>
      </c>
      <c r="L106" s="400">
        <f>+K106/$K$120</f>
        <v>2.425569816519979E-2</v>
      </c>
      <c r="M106" s="379"/>
      <c r="P106" s="224" t="s">
        <v>50</v>
      </c>
      <c r="Q106" s="225" t="s">
        <v>28</v>
      </c>
      <c r="R106" s="226">
        <v>0.03</v>
      </c>
      <c r="S106" s="219"/>
      <c r="T106" s="223">
        <f>+ROUND(R106*S106,2)</f>
        <v>0</v>
      </c>
      <c r="U106" s="201"/>
      <c r="V106" s="153"/>
      <c r="W106" s="143"/>
      <c r="X106" s="197" t="s">
        <v>37</v>
      </c>
      <c r="Y106" s="198"/>
      <c r="Z106" s="199"/>
      <c r="AA106" s="199"/>
      <c r="AB106" s="200"/>
      <c r="AC106" s="201"/>
      <c r="AD106" s="153"/>
      <c r="AE106" s="174"/>
      <c r="AF106" s="183"/>
      <c r="AG106" s="184"/>
      <c r="AH106" s="185"/>
      <c r="AI106" s="185"/>
      <c r="AJ106" s="186"/>
      <c r="AL106" s="153"/>
      <c r="AM106" s="174"/>
      <c r="AN106" s="296" t="s">
        <v>53</v>
      </c>
      <c r="AO106" s="297"/>
      <c r="AP106" s="298"/>
      <c r="AQ106" s="298"/>
      <c r="AR106" s="299"/>
      <c r="AS106" s="313"/>
      <c r="AT106" s="143"/>
      <c r="AU106" s="143"/>
      <c r="AV106" s="143"/>
      <c r="AW106" s="187"/>
      <c r="AX106" s="161"/>
      <c r="AY106" s="159"/>
      <c r="AZ106" s="159"/>
      <c r="BA106" s="280"/>
      <c r="BD106" s="216" t="s">
        <v>331</v>
      </c>
      <c r="BE106" s="213" t="s">
        <v>28</v>
      </c>
      <c r="BF106" s="214">
        <v>1</v>
      </c>
      <c r="BG106" s="214">
        <v>24127</v>
      </c>
      <c r="BH106" s="217">
        <f>ROUND((BG106*BF106),2)</f>
        <v>24127</v>
      </c>
      <c r="BI106" s="201"/>
      <c r="BJ106" s="241"/>
      <c r="BK106" s="164"/>
      <c r="BL106" s="149"/>
      <c r="BM106" s="149"/>
      <c r="BN106" s="194"/>
      <c r="BO106" s="194"/>
      <c r="BP106" s="176"/>
      <c r="BQ106" s="279"/>
      <c r="BR106" s="176"/>
      <c r="BS106" s="176"/>
      <c r="BT106" s="176"/>
      <c r="BU106" s="176"/>
      <c r="BV106" s="176"/>
      <c r="BW106" s="176"/>
      <c r="BX106" s="176"/>
      <c r="BY106" s="176"/>
      <c r="BZ106" s="176"/>
    </row>
    <row r="107" spans="4:78" ht="18" customHeight="1" thickTop="1" x14ac:dyDescent="0.2">
      <c r="D107" s="149"/>
      <c r="E107" s="242" t="s">
        <v>188</v>
      </c>
      <c r="F107" s="243" t="s">
        <v>157</v>
      </c>
      <c r="G107" s="244" t="s">
        <v>6</v>
      </c>
      <c r="H107" s="244">
        <v>1213.8</v>
      </c>
      <c r="I107" s="245">
        <f>+$BA$102</f>
        <v>2177.8200000000002</v>
      </c>
      <c r="J107" s="245">
        <f>ROUND(I107*H107,2)</f>
        <v>2643437.92</v>
      </c>
      <c r="K107" s="246"/>
      <c r="L107" s="247">
        <f>+J107/$K$120</f>
        <v>1.388885439945246E-2</v>
      </c>
      <c r="M107" s="379">
        <f t="shared" si="20"/>
        <v>1.388885439945246E-2</v>
      </c>
      <c r="P107" s="232" t="s">
        <v>51</v>
      </c>
      <c r="Q107" s="233"/>
      <c r="R107" s="234"/>
      <c r="S107" s="234"/>
      <c r="T107" s="235">
        <f>SUM(T105:T106)</f>
        <v>0</v>
      </c>
      <c r="U107" s="235"/>
      <c r="V107" s="194"/>
      <c r="W107" s="143"/>
      <c r="X107" s="216" t="s">
        <v>360</v>
      </c>
      <c r="Y107" s="213" t="s">
        <v>68</v>
      </c>
      <c r="Z107" s="214">
        <v>1.1000000000000001</v>
      </c>
      <c r="AA107" s="214">
        <v>4355.8249999999998</v>
      </c>
      <c r="AB107" s="215">
        <f>+ROUND(Z107*AA107,2)</f>
        <v>4791.41</v>
      </c>
      <c r="AC107" s="201"/>
      <c r="AD107" s="176"/>
      <c r="AE107" s="174"/>
      <c r="AF107" s="191" t="s">
        <v>31</v>
      </c>
      <c r="AG107" s="192" t="s">
        <v>32</v>
      </c>
      <c r="AH107" s="192" t="s">
        <v>33</v>
      </c>
      <c r="AI107" s="192" t="s">
        <v>1</v>
      </c>
      <c r="AJ107" s="192" t="s">
        <v>34</v>
      </c>
      <c r="AK107" s="193" t="s">
        <v>76</v>
      </c>
      <c r="AL107" s="194"/>
      <c r="AM107" s="174"/>
      <c r="AN107" s="305" t="s">
        <v>54</v>
      </c>
      <c r="AO107" s="306" t="s">
        <v>55</v>
      </c>
      <c r="AP107" s="307">
        <v>1.2</v>
      </c>
      <c r="AQ107" s="226">
        <v>1600.8</v>
      </c>
      <c r="AR107" s="215">
        <f>+ROUND(AP107*AQ107,2)</f>
        <v>1920.96</v>
      </c>
      <c r="AS107" s="314"/>
      <c r="AT107" s="143"/>
      <c r="AU107" s="143"/>
      <c r="AV107" s="143"/>
      <c r="AW107" s="191" t="s">
        <v>31</v>
      </c>
      <c r="AX107" s="192" t="s">
        <v>32</v>
      </c>
      <c r="AY107" s="192" t="s">
        <v>33</v>
      </c>
      <c r="AZ107" s="192" t="s">
        <v>1</v>
      </c>
      <c r="BA107" s="192" t="s">
        <v>34</v>
      </c>
      <c r="BB107" s="135"/>
      <c r="BD107" s="224" t="s">
        <v>50</v>
      </c>
      <c r="BE107" s="225" t="s">
        <v>28</v>
      </c>
      <c r="BF107" s="226">
        <v>0.03</v>
      </c>
      <c r="BG107" s="226">
        <v>129027</v>
      </c>
      <c r="BH107" s="217">
        <f>ROUND((BG107*BF107),2)</f>
        <v>3870.81</v>
      </c>
      <c r="BI107" s="201"/>
      <c r="BJ107" s="194"/>
      <c r="BK107" s="164"/>
      <c r="BL107" s="149"/>
      <c r="BM107" s="149"/>
      <c r="BN107" s="194"/>
      <c r="BO107" s="194"/>
      <c r="BP107" s="176"/>
      <c r="BQ107" s="279"/>
      <c r="BR107" s="176"/>
      <c r="BS107" s="176"/>
      <c r="BT107" s="176"/>
      <c r="BU107" s="176"/>
      <c r="BV107" s="176"/>
      <c r="BW107" s="176"/>
      <c r="BX107" s="176"/>
      <c r="BY107" s="176"/>
      <c r="BZ107" s="176"/>
    </row>
    <row r="108" spans="4:78" ht="18" customHeight="1" x14ac:dyDescent="0.2">
      <c r="D108" s="149"/>
      <c r="E108" s="242" t="s">
        <v>189</v>
      </c>
      <c r="F108" s="243" t="s">
        <v>158</v>
      </c>
      <c r="G108" s="244" t="s">
        <v>6</v>
      </c>
      <c r="H108" s="244">
        <v>232.28800000000001</v>
      </c>
      <c r="I108" s="245">
        <f>+$BA$125</f>
        <v>2185.56</v>
      </c>
      <c r="J108" s="245">
        <f>ROUND(I108*H108,2)</f>
        <v>507679.36</v>
      </c>
      <c r="K108" s="246"/>
      <c r="L108" s="247">
        <f t="shared" ref="L108:L110" si="24">+J108/$K$120</f>
        <v>2.6673918306533216E-3</v>
      </c>
      <c r="M108" s="379">
        <f t="shared" si="20"/>
        <v>2.6673918306533216E-3</v>
      </c>
      <c r="P108" s="197" t="s">
        <v>53</v>
      </c>
      <c r="Q108" s="198"/>
      <c r="R108" s="199"/>
      <c r="S108" s="199"/>
      <c r="T108" s="200"/>
      <c r="U108" s="153"/>
      <c r="V108" s="194"/>
      <c r="W108" s="143"/>
      <c r="X108" s="216" t="s">
        <v>274</v>
      </c>
      <c r="Y108" s="213" t="s">
        <v>28</v>
      </c>
      <c r="Z108" s="214">
        <v>1</v>
      </c>
      <c r="AA108" s="214">
        <v>143.7423</v>
      </c>
      <c r="AB108" s="215">
        <f>+ROUND(Z108*AA108,2)</f>
        <v>143.74</v>
      </c>
      <c r="AC108" s="201"/>
      <c r="AD108" s="176"/>
      <c r="AE108" s="174"/>
      <c r="AF108" s="197" t="s">
        <v>37</v>
      </c>
      <c r="AG108" s="198"/>
      <c r="AH108" s="199"/>
      <c r="AI108" s="199"/>
      <c r="AJ108" s="200"/>
      <c r="AK108" s="201"/>
      <c r="AL108" s="153"/>
      <c r="AM108" s="174"/>
      <c r="AN108" s="305" t="s">
        <v>56</v>
      </c>
      <c r="AO108" s="306" t="s">
        <v>55</v>
      </c>
      <c r="AP108" s="307">
        <v>1</v>
      </c>
      <c r="AQ108" s="226">
        <v>1354.6999999999998</v>
      </c>
      <c r="AR108" s="215">
        <f>+ROUND(AP108*AQ108,2)</f>
        <v>1354.7</v>
      </c>
      <c r="AS108" s="314"/>
      <c r="AT108" s="143"/>
      <c r="AU108" s="143"/>
      <c r="AV108" s="143"/>
      <c r="AW108" s="197" t="s">
        <v>37</v>
      </c>
      <c r="AX108" s="198"/>
      <c r="AY108" s="199"/>
      <c r="AZ108" s="199"/>
      <c r="BA108" s="200"/>
      <c r="BB108" s="193"/>
      <c r="BD108" s="232" t="s">
        <v>51</v>
      </c>
      <c r="BE108" s="233"/>
      <c r="BF108" s="234"/>
      <c r="BG108" s="234"/>
      <c r="BH108" s="235">
        <f>SUM(BH105:BH107)</f>
        <v>132897.81</v>
      </c>
      <c r="BI108" s="235"/>
      <c r="BJ108" s="194"/>
      <c r="BK108" s="194"/>
      <c r="BL108" s="149"/>
      <c r="BM108" s="136"/>
      <c r="BN108" s="136"/>
      <c r="BO108" s="136"/>
      <c r="BP108" s="176"/>
      <c r="BQ108" s="304"/>
      <c r="BR108" s="176"/>
      <c r="BS108" s="176"/>
      <c r="BT108" s="176"/>
      <c r="BU108" s="176"/>
      <c r="BV108" s="176"/>
      <c r="BW108" s="176"/>
      <c r="BX108" s="176"/>
      <c r="BY108" s="176"/>
      <c r="BZ108" s="176"/>
    </row>
    <row r="109" spans="4:78" ht="18" customHeight="1" x14ac:dyDescent="0.2">
      <c r="D109" s="149"/>
      <c r="E109" s="242" t="s">
        <v>190</v>
      </c>
      <c r="F109" s="243" t="s">
        <v>159</v>
      </c>
      <c r="G109" s="244" t="s">
        <v>6</v>
      </c>
      <c r="H109" s="244">
        <v>442.9</v>
      </c>
      <c r="I109" s="245">
        <f>+$BA$149</f>
        <v>2263.7200000000003</v>
      </c>
      <c r="J109" s="245">
        <f>ROUND(I109*H109,2)</f>
        <v>1002601.59</v>
      </c>
      <c r="K109" s="246"/>
      <c r="L109" s="247">
        <f t="shared" si="24"/>
        <v>5.2677565827494565E-3</v>
      </c>
      <c r="M109" s="379">
        <f t="shared" si="20"/>
        <v>5.2677565827494565E-3</v>
      </c>
      <c r="P109" s="224" t="s">
        <v>54</v>
      </c>
      <c r="Q109" s="225" t="s">
        <v>55</v>
      </c>
      <c r="R109" s="226">
        <v>0.1</v>
      </c>
      <c r="S109" s="226">
        <v>1600.8</v>
      </c>
      <c r="T109" s="215">
        <f>+ROUND(R109*S109,2)</f>
        <v>160.08000000000001</v>
      </c>
      <c r="U109" s="194"/>
      <c r="V109" s="194"/>
      <c r="W109" s="143"/>
      <c r="X109" s="224" t="s">
        <v>50</v>
      </c>
      <c r="Y109" s="225" t="s">
        <v>28</v>
      </c>
      <c r="Z109" s="226">
        <v>0.03</v>
      </c>
      <c r="AA109" s="219">
        <v>4935.1499999999996</v>
      </c>
      <c r="AB109" s="223">
        <f>+ROUND(Z109*AA109,2)</f>
        <v>148.05000000000001</v>
      </c>
      <c r="AC109" s="201"/>
      <c r="AD109" s="153"/>
      <c r="AE109" s="174"/>
      <c r="AF109" s="216" t="s">
        <v>221</v>
      </c>
      <c r="AG109" s="213" t="s">
        <v>52</v>
      </c>
      <c r="AH109" s="214">
        <v>1.1000000000000001</v>
      </c>
      <c r="AI109" s="214">
        <v>1753.55</v>
      </c>
      <c r="AJ109" s="215">
        <f>+ROUND(AH109*AI109,2)</f>
        <v>1928.91</v>
      </c>
      <c r="AK109" s="201"/>
      <c r="AL109" s="194"/>
      <c r="AM109" s="174"/>
      <c r="AN109" s="315"/>
      <c r="AO109" s="316"/>
      <c r="AP109" s="308"/>
      <c r="AQ109" s="308"/>
      <c r="AR109" s="317"/>
      <c r="AS109" s="314"/>
      <c r="AT109" s="143"/>
      <c r="AU109" s="143"/>
      <c r="AV109" s="174"/>
      <c r="AW109" s="281" t="s">
        <v>69</v>
      </c>
      <c r="AX109" s="282" t="s">
        <v>70</v>
      </c>
      <c r="AY109" s="283">
        <v>0.15</v>
      </c>
      <c r="AZ109" s="284">
        <v>1093.433884297521</v>
      </c>
      <c r="BA109" s="285">
        <f t="shared" ref="BA109:BA115" si="25">+ROUND(AY109*AZ109,2)</f>
        <v>164.02</v>
      </c>
      <c r="BB109" s="201"/>
      <c r="BD109" s="197" t="s">
        <v>53</v>
      </c>
      <c r="BE109" s="198"/>
      <c r="BF109" s="199"/>
      <c r="BG109" s="199"/>
      <c r="BH109" s="200"/>
      <c r="BI109" s="153"/>
      <c r="BJ109" s="194"/>
      <c r="BK109" s="136"/>
      <c r="BL109" s="149"/>
      <c r="BM109" s="136"/>
      <c r="BN109" s="136"/>
      <c r="BO109" s="136"/>
      <c r="BP109" s="176"/>
      <c r="BQ109" s="304"/>
      <c r="BR109" s="176"/>
      <c r="BS109" s="176"/>
      <c r="BT109" s="176"/>
      <c r="BU109" s="176"/>
      <c r="BV109" s="176"/>
      <c r="BW109" s="176"/>
      <c r="BX109" s="176"/>
      <c r="BY109" s="176"/>
      <c r="BZ109" s="176"/>
    </row>
    <row r="110" spans="4:78" ht="18" customHeight="1" x14ac:dyDescent="0.2">
      <c r="D110" s="240"/>
      <c r="E110" s="242" t="s">
        <v>191</v>
      </c>
      <c r="F110" s="243" t="s">
        <v>198</v>
      </c>
      <c r="G110" s="244" t="s">
        <v>6</v>
      </c>
      <c r="H110" s="244">
        <v>162.68</v>
      </c>
      <c r="I110" s="245">
        <f>+$BA$172</f>
        <v>2844.9700000000003</v>
      </c>
      <c r="J110" s="245">
        <f>ROUND(I110*H110,2)</f>
        <v>462819.72</v>
      </c>
      <c r="K110" s="246"/>
      <c r="L110" s="247">
        <f t="shared" si="24"/>
        <v>2.4316953523445539E-3</v>
      </c>
      <c r="M110" s="379">
        <f t="shared" si="20"/>
        <v>2.4316953523445539E-3</v>
      </c>
      <c r="P110" s="224" t="s">
        <v>56</v>
      </c>
      <c r="Q110" s="225" t="s">
        <v>55</v>
      </c>
      <c r="R110" s="226">
        <v>0.2</v>
      </c>
      <c r="S110" s="226">
        <v>1354.6999999999998</v>
      </c>
      <c r="T110" s="215">
        <f>+ROUND(R110*S110,2)</f>
        <v>270.94</v>
      </c>
      <c r="U110" s="194"/>
      <c r="V110" s="194"/>
      <c r="W110" s="143"/>
      <c r="X110" s="232" t="s">
        <v>51</v>
      </c>
      <c r="Y110" s="233"/>
      <c r="Z110" s="234"/>
      <c r="AA110" s="234"/>
      <c r="AB110" s="235">
        <f>SUM(AB107:AB109)</f>
        <v>5083.2</v>
      </c>
      <c r="AC110" s="235"/>
      <c r="AD110" s="194"/>
      <c r="AE110" s="174"/>
      <c r="AF110" s="216" t="s">
        <v>225</v>
      </c>
      <c r="AG110" s="213" t="s">
        <v>52</v>
      </c>
      <c r="AH110" s="287">
        <v>1.1000000000000001</v>
      </c>
      <c r="AI110" s="214">
        <v>76.5</v>
      </c>
      <c r="AJ110" s="215">
        <f t="shared" ref="AJ110:AJ111" si="26">+ROUND(AH110*AI110,2)</f>
        <v>84.15</v>
      </c>
      <c r="AK110" s="201"/>
      <c r="AL110" s="194"/>
      <c r="AM110" s="174"/>
      <c r="AN110" s="309" t="s">
        <v>57</v>
      </c>
      <c r="AO110" s="310"/>
      <c r="AP110" s="311"/>
      <c r="AQ110" s="311"/>
      <c r="AR110" s="235">
        <f>SUM(AR107:AR109)</f>
        <v>3275.66</v>
      </c>
      <c r="AS110" s="412"/>
      <c r="AT110" s="143"/>
      <c r="AU110" s="143"/>
      <c r="AV110" s="143"/>
      <c r="AW110" s="224" t="s">
        <v>334</v>
      </c>
      <c r="AX110" s="225" t="s">
        <v>70</v>
      </c>
      <c r="AY110" s="226">
        <v>0.35</v>
      </c>
      <c r="AZ110" s="194">
        <v>1333.1934710743799</v>
      </c>
      <c r="BA110" s="215">
        <f t="shared" si="25"/>
        <v>466.62</v>
      </c>
      <c r="BB110" s="201"/>
      <c r="BD110" s="224" t="s">
        <v>54</v>
      </c>
      <c r="BE110" s="225" t="s">
        <v>55</v>
      </c>
      <c r="BF110" s="226">
        <v>20</v>
      </c>
      <c r="BG110" s="226">
        <v>1600.8</v>
      </c>
      <c r="BH110" s="215">
        <f>+ROUND(BF110*BG110,2)</f>
        <v>32016</v>
      </c>
      <c r="BI110" s="194"/>
      <c r="BJ110" s="194"/>
      <c r="BK110" s="136"/>
      <c r="BL110" s="149"/>
      <c r="BM110" s="136"/>
      <c r="BN110" s="136"/>
      <c r="BO110" s="136"/>
      <c r="BP110" s="194"/>
      <c r="BQ110" s="304"/>
      <c r="BR110" s="176"/>
      <c r="BS110" s="176"/>
      <c r="BT110" s="176"/>
      <c r="BU110" s="176"/>
      <c r="BV110" s="176"/>
      <c r="BW110" s="176"/>
      <c r="BX110" s="176"/>
      <c r="BY110" s="176"/>
      <c r="BZ110" s="176"/>
    </row>
    <row r="111" spans="4:78" ht="18" customHeight="1" x14ac:dyDescent="0.2">
      <c r="D111" s="240"/>
      <c r="E111" s="395">
        <v>18</v>
      </c>
      <c r="F111" s="396" t="s">
        <v>103</v>
      </c>
      <c r="G111" s="397"/>
      <c r="H111" s="398"/>
      <c r="I111" s="398"/>
      <c r="J111" s="398"/>
      <c r="K111" s="399">
        <f>SUM(J112:J119)</f>
        <v>7895662.71</v>
      </c>
      <c r="L111" s="400">
        <f>+K111/$K$120</f>
        <v>4.1484503546191182E-2</v>
      </c>
      <c r="M111" s="379"/>
      <c r="P111" s="248"/>
      <c r="Q111" s="249"/>
      <c r="R111" s="219"/>
      <c r="S111" s="219"/>
      <c r="T111" s="215"/>
      <c r="U111" s="194"/>
      <c r="W111" s="143"/>
      <c r="X111" s="197" t="s">
        <v>53</v>
      </c>
      <c r="Y111" s="198"/>
      <c r="Z111" s="199"/>
      <c r="AA111" s="199"/>
      <c r="AB111" s="200"/>
      <c r="AC111" s="241"/>
      <c r="AD111" s="194"/>
      <c r="AE111" s="174"/>
      <c r="AF111" s="224" t="s">
        <v>50</v>
      </c>
      <c r="AG111" s="274" t="s">
        <v>28</v>
      </c>
      <c r="AH111" s="275">
        <v>0.03</v>
      </c>
      <c r="AI111" s="194">
        <v>2013.0600000000002</v>
      </c>
      <c r="AJ111" s="215">
        <f t="shared" si="26"/>
        <v>60.39</v>
      </c>
      <c r="AK111" s="201"/>
      <c r="AL111" s="194"/>
      <c r="AM111" s="174"/>
      <c r="AN111" s="296" t="s">
        <v>58</v>
      </c>
      <c r="AO111" s="297"/>
      <c r="AP111" s="298"/>
      <c r="AQ111" s="298"/>
      <c r="AR111" s="299"/>
      <c r="AS111" s="318"/>
      <c r="AT111" s="143"/>
      <c r="AU111" s="143"/>
      <c r="AV111" s="143"/>
      <c r="AW111" s="224" t="s">
        <v>72</v>
      </c>
      <c r="AX111" s="225" t="s">
        <v>20</v>
      </c>
      <c r="AY111" s="226">
        <v>0.1</v>
      </c>
      <c r="AZ111" s="194">
        <v>123.80165289256199</v>
      </c>
      <c r="BA111" s="215">
        <f t="shared" si="25"/>
        <v>12.38</v>
      </c>
      <c r="BB111" s="286"/>
      <c r="BD111" s="224" t="s">
        <v>56</v>
      </c>
      <c r="BE111" s="225" t="s">
        <v>55</v>
      </c>
      <c r="BF111" s="226">
        <v>20</v>
      </c>
      <c r="BG111" s="226">
        <v>1354.6999999999998</v>
      </c>
      <c r="BH111" s="215">
        <f>+ROUND(BF111*BG111,2)</f>
        <v>27094</v>
      </c>
      <c r="BI111" s="194"/>
      <c r="BK111" s="194"/>
      <c r="BL111" s="149"/>
      <c r="BM111" s="136"/>
      <c r="BN111" s="136"/>
      <c r="BO111" s="136"/>
      <c r="BP111" s="194"/>
      <c r="BQ111" s="279"/>
      <c r="BR111" s="176"/>
      <c r="BS111" s="176"/>
      <c r="BT111" s="176"/>
      <c r="BU111" s="176"/>
      <c r="BV111" s="176"/>
      <c r="BW111" s="176"/>
      <c r="BX111" s="176"/>
      <c r="BY111" s="176"/>
      <c r="BZ111" s="176"/>
    </row>
    <row r="112" spans="4:78" ht="18" customHeight="1" x14ac:dyDescent="0.2">
      <c r="D112" s="149"/>
      <c r="E112" s="242" t="s">
        <v>192</v>
      </c>
      <c r="F112" s="243" t="s">
        <v>222</v>
      </c>
      <c r="G112" s="244" t="s">
        <v>11</v>
      </c>
      <c r="H112" s="244">
        <v>1</v>
      </c>
      <c r="I112" s="245">
        <f>+$BH$22</f>
        <v>492564</v>
      </c>
      <c r="J112" s="245">
        <f t="shared" ref="J112:J117" si="27">ROUND(I112*H112,2)</f>
        <v>492564</v>
      </c>
      <c r="K112" s="246"/>
      <c r="L112" s="247">
        <f>+J112/$K$120</f>
        <v>2.587974405092858E-3</v>
      </c>
      <c r="M112" s="379">
        <f t="shared" si="20"/>
        <v>2.587974405092858E-3</v>
      </c>
      <c r="P112" s="232" t="s">
        <v>57</v>
      </c>
      <c r="Q112" s="233"/>
      <c r="R112" s="234"/>
      <c r="S112" s="234"/>
      <c r="T112" s="235">
        <f>SUM(T109:T111)</f>
        <v>431.02</v>
      </c>
      <c r="V112" s="149"/>
      <c r="W112" s="143"/>
      <c r="X112" s="224" t="s">
        <v>54</v>
      </c>
      <c r="Y112" s="225" t="s">
        <v>55</v>
      </c>
      <c r="Z112" s="226">
        <v>0.5</v>
      </c>
      <c r="AA112" s="226">
        <v>1600.8</v>
      </c>
      <c r="AB112" s="215">
        <f>+ROUND(Z112*AA112,2)</f>
        <v>800.4</v>
      </c>
      <c r="AC112" s="194"/>
      <c r="AD112" s="194"/>
      <c r="AE112" s="174"/>
      <c r="AF112" s="232" t="s">
        <v>51</v>
      </c>
      <c r="AG112" s="233"/>
      <c r="AH112" s="234"/>
      <c r="AI112" s="234"/>
      <c r="AJ112" s="235">
        <f>SUM(AJ109:AJ111)</f>
        <v>2073.4500000000003</v>
      </c>
      <c r="AK112" s="235"/>
      <c r="AL112" s="194"/>
      <c r="AM112" s="174"/>
      <c r="AN112" s="319" t="s">
        <v>59</v>
      </c>
      <c r="AO112" s="302" t="s">
        <v>60</v>
      </c>
      <c r="AP112" s="307">
        <v>40.9</v>
      </c>
      <c r="AQ112" s="226">
        <v>1.9600688000000004</v>
      </c>
      <c r="AR112" s="215">
        <f>+ROUND(AP112*AQ112,2)</f>
        <v>80.17</v>
      </c>
      <c r="AS112" s="314"/>
      <c r="AT112" s="143"/>
      <c r="AU112" s="143"/>
      <c r="AV112" s="143"/>
      <c r="AW112" s="212" t="s">
        <v>73</v>
      </c>
      <c r="AX112" s="225" t="s">
        <v>20</v>
      </c>
      <c r="AY112" s="226">
        <v>0.2</v>
      </c>
      <c r="AZ112" s="194">
        <v>769.33884297520672</v>
      </c>
      <c r="BA112" s="215">
        <f t="shared" si="25"/>
        <v>153.87</v>
      </c>
      <c r="BB112" s="201"/>
      <c r="BD112" s="248"/>
      <c r="BE112" s="249"/>
      <c r="BF112" s="219"/>
      <c r="BG112" s="219"/>
      <c r="BH112" s="215"/>
      <c r="BI112" s="194"/>
      <c r="BK112" s="194"/>
      <c r="BL112" s="149"/>
      <c r="BM112" s="136"/>
      <c r="BN112" s="136"/>
      <c r="BO112" s="136"/>
      <c r="BP112" s="176"/>
      <c r="BQ112" s="279"/>
      <c r="BR112" s="176"/>
      <c r="BS112" s="176"/>
      <c r="BT112" s="176"/>
      <c r="BU112" s="176"/>
      <c r="BV112" s="176"/>
      <c r="BW112" s="176"/>
      <c r="BX112" s="176"/>
      <c r="BY112" s="176"/>
      <c r="BZ112" s="176"/>
    </row>
    <row r="113" spans="4:78" ht="18" customHeight="1" x14ac:dyDescent="0.2">
      <c r="D113" s="149"/>
      <c r="E113" s="242" t="s">
        <v>193</v>
      </c>
      <c r="F113" s="243" t="s">
        <v>332</v>
      </c>
      <c r="G113" s="244" t="s">
        <v>20</v>
      </c>
      <c r="H113" s="244">
        <v>17</v>
      </c>
      <c r="I113" s="245">
        <f>+$BH$41</f>
        <v>1692.55</v>
      </c>
      <c r="J113" s="245">
        <f t="shared" si="27"/>
        <v>28773.35</v>
      </c>
      <c r="K113" s="246"/>
      <c r="L113" s="247">
        <f t="shared" ref="L113:L119" si="28">+J113/$K$120</f>
        <v>1.5117770147387666E-4</v>
      </c>
      <c r="M113" s="379">
        <f t="shared" si="20"/>
        <v>1.5117770147387666E-4</v>
      </c>
      <c r="P113" s="197" t="s">
        <v>58</v>
      </c>
      <c r="Q113" s="198"/>
      <c r="R113" s="199"/>
      <c r="S113" s="199"/>
      <c r="T113" s="200"/>
      <c r="U113" s="153"/>
      <c r="W113" s="143"/>
      <c r="X113" s="224" t="s">
        <v>56</v>
      </c>
      <c r="Y113" s="225" t="s">
        <v>55</v>
      </c>
      <c r="Z113" s="226">
        <v>0.5</v>
      </c>
      <c r="AA113" s="226">
        <v>1354.6999999999998</v>
      </c>
      <c r="AB113" s="215">
        <f>+ROUND(Z113*AA113,2)</f>
        <v>677.35</v>
      </c>
      <c r="AC113" s="194"/>
      <c r="AD113" s="194"/>
      <c r="AE113" s="174"/>
      <c r="AF113" s="197" t="s">
        <v>53</v>
      </c>
      <c r="AG113" s="198"/>
      <c r="AH113" s="199"/>
      <c r="AI113" s="199"/>
      <c r="AJ113" s="200"/>
      <c r="AK113" s="241">
        <f>+AJ109*AK105</f>
        <v>231469.2</v>
      </c>
      <c r="AM113" s="174"/>
      <c r="AN113" s="320" t="s">
        <v>62</v>
      </c>
      <c r="AO113" s="321"/>
      <c r="AP113" s="322"/>
      <c r="AQ113" s="322"/>
      <c r="AR113" s="251">
        <f>SUM(AR112:AR112)</f>
        <v>80.17</v>
      </c>
      <c r="AS113" s="314"/>
      <c r="AT113" s="143"/>
      <c r="AU113" s="143"/>
      <c r="AV113" s="143"/>
      <c r="AW113" s="212" t="s">
        <v>74</v>
      </c>
      <c r="AX113" s="274" t="s">
        <v>28</v>
      </c>
      <c r="AY113" s="275">
        <v>0.08</v>
      </c>
      <c r="AZ113" s="194">
        <v>2188.636363636364</v>
      </c>
      <c r="BA113" s="215">
        <f t="shared" si="25"/>
        <v>175.09</v>
      </c>
      <c r="BB113" s="201"/>
      <c r="BD113" s="232" t="s">
        <v>57</v>
      </c>
      <c r="BE113" s="233"/>
      <c r="BF113" s="234"/>
      <c r="BG113" s="234"/>
      <c r="BH113" s="235">
        <f>SUM(BH110:BH112)</f>
        <v>59110</v>
      </c>
      <c r="BI113" s="138">
        <f>+BH113/BH108</f>
        <v>0.44477783343457655</v>
      </c>
      <c r="BJ113" s="149"/>
      <c r="BK113" s="144"/>
      <c r="BL113" s="149"/>
      <c r="BM113" s="136"/>
      <c r="BN113" s="136"/>
      <c r="BO113" s="136"/>
      <c r="BP113" s="176"/>
      <c r="BQ113" s="147"/>
      <c r="BR113" s="176"/>
      <c r="BS113" s="176"/>
      <c r="BT113" s="176"/>
      <c r="BU113" s="176"/>
      <c r="BV113" s="176"/>
      <c r="BW113" s="176"/>
      <c r="BX113" s="176"/>
      <c r="BY113" s="176"/>
      <c r="BZ113" s="176"/>
    </row>
    <row r="114" spans="4:78" ht="18" customHeight="1" x14ac:dyDescent="0.2">
      <c r="D114" s="149"/>
      <c r="E114" s="242" t="s">
        <v>194</v>
      </c>
      <c r="F114" s="243" t="s">
        <v>238</v>
      </c>
      <c r="G114" s="244" t="s">
        <v>35</v>
      </c>
      <c r="H114" s="244">
        <v>1</v>
      </c>
      <c r="I114" s="245">
        <f>+$BH$60</f>
        <v>5135765.709999999</v>
      </c>
      <c r="J114" s="245">
        <f t="shared" si="27"/>
        <v>5135765.71</v>
      </c>
      <c r="K114" s="246"/>
      <c r="L114" s="247">
        <f t="shared" si="28"/>
        <v>2.6983762938488295E-2</v>
      </c>
      <c r="M114" s="379">
        <f t="shared" si="20"/>
        <v>2.6983762938488295E-2</v>
      </c>
      <c r="P114" s="252" t="s">
        <v>59</v>
      </c>
      <c r="Q114" s="213" t="s">
        <v>60</v>
      </c>
      <c r="R114" s="226">
        <v>20</v>
      </c>
      <c r="S114" s="226">
        <v>1.9600688000000004</v>
      </c>
      <c r="T114" s="215">
        <f>+ROUND(R114*S114,2)</f>
        <v>39.200000000000003</v>
      </c>
      <c r="U114" s="194"/>
      <c r="X114" s="248"/>
      <c r="Y114" s="249"/>
      <c r="Z114" s="219"/>
      <c r="AA114" s="219"/>
      <c r="AB114" s="215"/>
      <c r="AC114" s="194"/>
      <c r="AE114" s="174"/>
      <c r="AF114" s="224" t="s">
        <v>54</v>
      </c>
      <c r="AG114" s="225" t="s">
        <v>55</v>
      </c>
      <c r="AH114" s="226">
        <v>0.2</v>
      </c>
      <c r="AI114" s="226">
        <v>1600.8</v>
      </c>
      <c r="AJ114" s="215">
        <f>+ROUND(AH114*AI114,2)</f>
        <v>320.16000000000003</v>
      </c>
      <c r="AK114" s="194"/>
      <c r="AL114" s="149"/>
      <c r="AM114" s="174"/>
      <c r="AN114" s="323" t="s">
        <v>227</v>
      </c>
      <c r="AO114" s="310"/>
      <c r="AP114" s="324" t="s">
        <v>64</v>
      </c>
      <c r="AQ114" s="325"/>
      <c r="AR114" s="256">
        <f>+AR105+AR110+AR113</f>
        <v>14423.44</v>
      </c>
      <c r="AS114" s="314"/>
      <c r="AT114" s="174"/>
      <c r="AU114" s="174"/>
      <c r="AV114" s="143"/>
      <c r="AW114" s="224" t="s">
        <v>50</v>
      </c>
      <c r="AX114" s="274" t="s">
        <v>28</v>
      </c>
      <c r="AY114" s="275">
        <v>0.03</v>
      </c>
      <c r="AZ114" s="194">
        <v>971.98</v>
      </c>
      <c r="BA114" s="215">
        <f t="shared" si="25"/>
        <v>29.16</v>
      </c>
      <c r="BB114" s="286"/>
      <c r="BD114" s="197" t="s">
        <v>58</v>
      </c>
      <c r="BE114" s="198"/>
      <c r="BF114" s="199"/>
      <c r="BG114" s="199"/>
      <c r="BH114" s="200"/>
      <c r="BI114" s="153"/>
      <c r="BK114" s="164"/>
      <c r="BL114" s="149"/>
      <c r="BM114" s="136"/>
      <c r="BN114" s="136"/>
      <c r="BO114" s="136"/>
      <c r="BP114" s="176"/>
      <c r="BQ114" s="189"/>
      <c r="BR114" s="176"/>
      <c r="BS114" s="176"/>
      <c r="BT114" s="176"/>
      <c r="BU114" s="176"/>
      <c r="BV114" s="176"/>
      <c r="BW114" s="176"/>
      <c r="BX114" s="176"/>
      <c r="BY114" s="176"/>
      <c r="BZ114" s="176"/>
    </row>
    <row r="115" spans="4:78" ht="18" customHeight="1" x14ac:dyDescent="0.2">
      <c r="D115" s="149"/>
      <c r="E115" s="242" t="s">
        <v>195</v>
      </c>
      <c r="F115" s="243" t="s">
        <v>328</v>
      </c>
      <c r="G115" s="244" t="s">
        <v>35</v>
      </c>
      <c r="H115" s="244">
        <v>1</v>
      </c>
      <c r="I115" s="245">
        <f>+$BH$79</f>
        <v>498917.93999999994</v>
      </c>
      <c r="J115" s="245">
        <f t="shared" si="27"/>
        <v>498917.94</v>
      </c>
      <c r="K115" s="246"/>
      <c r="L115" s="247">
        <f t="shared" si="28"/>
        <v>2.6213585624642768E-3</v>
      </c>
      <c r="M115" s="379">
        <f t="shared" si="20"/>
        <v>2.6213585624642768E-3</v>
      </c>
      <c r="P115" s="202" t="s">
        <v>62</v>
      </c>
      <c r="Q115" s="250"/>
      <c r="R115" s="168"/>
      <c r="S115" s="168"/>
      <c r="T115" s="251">
        <f>SUM(T114:T114)</f>
        <v>39.200000000000003</v>
      </c>
      <c r="U115" s="194"/>
      <c r="V115" s="135"/>
      <c r="X115" s="232" t="s">
        <v>57</v>
      </c>
      <c r="Y115" s="233"/>
      <c r="Z115" s="234"/>
      <c r="AA115" s="234"/>
      <c r="AB115" s="235">
        <f>SUM(AB112:AB114)</f>
        <v>1477.75</v>
      </c>
      <c r="AC115" s="138">
        <f>+AB115/AB110</f>
        <v>0.29071254327982377</v>
      </c>
      <c r="AD115" s="149"/>
      <c r="AE115" s="174"/>
      <c r="AF115" s="224" t="s">
        <v>56</v>
      </c>
      <c r="AG115" s="225" t="s">
        <v>55</v>
      </c>
      <c r="AH115" s="226">
        <v>0.1</v>
      </c>
      <c r="AI115" s="226">
        <v>1354.6999999999998</v>
      </c>
      <c r="AJ115" s="215">
        <f>+ROUND(AH115*AI115,2)</f>
        <v>135.47</v>
      </c>
      <c r="AK115" s="194"/>
      <c r="AM115" s="174"/>
      <c r="AN115" s="356"/>
      <c r="AO115" s="327"/>
      <c r="AP115" s="328"/>
      <c r="AQ115" s="314"/>
      <c r="AR115" s="329"/>
      <c r="AS115" s="314"/>
      <c r="AT115" s="143"/>
      <c r="AU115" s="143"/>
      <c r="AV115" s="143"/>
      <c r="AW115" s="224"/>
      <c r="AX115" s="290"/>
      <c r="AY115" s="275"/>
      <c r="AZ115" s="194"/>
      <c r="BA115" s="215">
        <f t="shared" si="25"/>
        <v>0</v>
      </c>
      <c r="BB115" s="201"/>
      <c r="BD115" s="252" t="s">
        <v>59</v>
      </c>
      <c r="BE115" s="213" t="s">
        <v>60</v>
      </c>
      <c r="BF115" s="226">
        <v>450</v>
      </c>
      <c r="BG115" s="226">
        <v>1.9600688000000004</v>
      </c>
      <c r="BH115" s="215">
        <f>+ROUND(BF115*BG115,2)</f>
        <v>882.03</v>
      </c>
      <c r="BI115" s="194"/>
      <c r="BK115" s="164"/>
      <c r="BL115" s="149"/>
      <c r="BM115" s="136"/>
      <c r="BN115" s="136"/>
      <c r="BO115" s="136"/>
      <c r="BP115" s="176"/>
      <c r="BQ115" s="147"/>
      <c r="BR115" s="176"/>
      <c r="BS115" s="176"/>
      <c r="BT115" s="176"/>
      <c r="BU115" s="176"/>
      <c r="BV115" s="176"/>
      <c r="BW115" s="176"/>
      <c r="BX115" s="176"/>
      <c r="BY115" s="176"/>
      <c r="BZ115" s="176"/>
    </row>
    <row r="116" spans="4:78" ht="18" customHeight="1" x14ac:dyDescent="0.2">
      <c r="D116" s="149"/>
      <c r="E116" s="242" t="s">
        <v>196</v>
      </c>
      <c r="F116" s="243" t="s">
        <v>329</v>
      </c>
      <c r="G116" s="244" t="s">
        <v>35</v>
      </c>
      <c r="H116" s="244">
        <v>1</v>
      </c>
      <c r="I116" s="245">
        <f>+$BH$98</f>
        <v>1352721.8599999999</v>
      </c>
      <c r="J116" s="245">
        <f t="shared" si="27"/>
        <v>1352721.86</v>
      </c>
      <c r="K116" s="246"/>
      <c r="L116" s="247">
        <f t="shared" si="28"/>
        <v>7.1073191522108888E-3</v>
      </c>
      <c r="M116" s="379">
        <f t="shared" si="20"/>
        <v>7.1073191522108888E-3</v>
      </c>
      <c r="P116" s="253" t="s">
        <v>63</v>
      </c>
      <c r="Q116" s="233"/>
      <c r="R116" s="254" t="s">
        <v>64</v>
      </c>
      <c r="S116" s="255"/>
      <c r="T116" s="256">
        <f>+T107+T112+T115</f>
        <v>470.21999999999997</v>
      </c>
      <c r="U116" s="194"/>
      <c r="V116" s="135"/>
      <c r="X116" s="197" t="s">
        <v>58</v>
      </c>
      <c r="Y116" s="198"/>
      <c r="Z116" s="199"/>
      <c r="AA116" s="199"/>
      <c r="AB116" s="200"/>
      <c r="AC116" s="153"/>
      <c r="AE116" s="174"/>
      <c r="AF116" s="248"/>
      <c r="AG116" s="249"/>
      <c r="AH116" s="219"/>
      <c r="AI116" s="219"/>
      <c r="AJ116" s="215"/>
      <c r="AK116" s="194"/>
      <c r="AM116" s="174"/>
      <c r="AN116" s="155" t="s">
        <v>391</v>
      </c>
      <c r="AO116" s="169"/>
      <c r="AP116" s="172"/>
      <c r="AQ116" s="172"/>
      <c r="AR116" s="173"/>
      <c r="AS116" s="154"/>
      <c r="AT116" s="143"/>
      <c r="AU116" s="143"/>
      <c r="AV116" s="143"/>
      <c r="AW116" s="232" t="s">
        <v>51</v>
      </c>
      <c r="AX116" s="233"/>
      <c r="AY116" s="234"/>
      <c r="AZ116" s="234"/>
      <c r="BA116" s="235">
        <f>SUM(BA109:BA115)</f>
        <v>1001.14</v>
      </c>
      <c r="BB116" s="235"/>
      <c r="BD116" s="202" t="s">
        <v>62</v>
      </c>
      <c r="BE116" s="250"/>
      <c r="BF116" s="168"/>
      <c r="BG116" s="168"/>
      <c r="BH116" s="251">
        <f>SUM(BH115:BH115)</f>
        <v>882.03</v>
      </c>
      <c r="BI116" s="194"/>
      <c r="BJ116" s="135"/>
      <c r="BK116" s="164"/>
      <c r="BL116" s="149"/>
      <c r="BM116" s="136"/>
      <c r="BN116" s="136"/>
      <c r="BO116" s="136"/>
      <c r="BP116" s="176"/>
      <c r="BQ116" s="147"/>
      <c r="BR116" s="176"/>
      <c r="BS116" s="176"/>
      <c r="BT116" s="176"/>
      <c r="BU116" s="176"/>
      <c r="BV116" s="176"/>
      <c r="BW116" s="176"/>
      <c r="BX116" s="176"/>
      <c r="BY116" s="176"/>
      <c r="BZ116" s="176"/>
    </row>
    <row r="117" spans="4:78" ht="18" customHeight="1" x14ac:dyDescent="0.2">
      <c r="D117" s="149"/>
      <c r="E117" s="242" t="s">
        <v>199</v>
      </c>
      <c r="F117" s="243" t="s">
        <v>326</v>
      </c>
      <c r="G117" s="244" t="s">
        <v>35</v>
      </c>
      <c r="H117" s="244">
        <v>1</v>
      </c>
      <c r="I117" s="245">
        <f>+$BH$117</f>
        <v>192889.84</v>
      </c>
      <c r="J117" s="245">
        <f t="shared" si="27"/>
        <v>192889.84</v>
      </c>
      <c r="K117" s="246"/>
      <c r="L117" s="247">
        <f t="shared" si="28"/>
        <v>1.0134601167004827E-3</v>
      </c>
      <c r="M117" s="379">
        <f t="shared" si="20"/>
        <v>1.0134601167004827E-3</v>
      </c>
      <c r="P117" s="194"/>
      <c r="Q117" s="148"/>
      <c r="R117" s="206"/>
      <c r="S117" s="194"/>
      <c r="T117" s="144"/>
      <c r="U117" s="194"/>
      <c r="V117" s="135"/>
      <c r="X117" s="252" t="s">
        <v>59</v>
      </c>
      <c r="Y117" s="213" t="s">
        <v>60</v>
      </c>
      <c r="Z117" s="226">
        <v>22.5</v>
      </c>
      <c r="AA117" s="226">
        <v>1.9600688000000004</v>
      </c>
      <c r="AB117" s="215">
        <f>+ROUND(Z117*AA117,2)</f>
        <v>44.1</v>
      </c>
      <c r="AC117" s="194"/>
      <c r="AE117" s="174"/>
      <c r="AF117" s="232" t="s">
        <v>57</v>
      </c>
      <c r="AG117" s="233"/>
      <c r="AH117" s="234"/>
      <c r="AI117" s="234"/>
      <c r="AJ117" s="235">
        <f>SUM(AJ114:AJ116)</f>
        <v>455.63</v>
      </c>
      <c r="AM117" s="174"/>
      <c r="AN117" s="177" t="s">
        <v>394</v>
      </c>
      <c r="AO117" s="150"/>
      <c r="AP117" s="178"/>
      <c r="AQ117" s="149"/>
      <c r="AR117" s="179" t="str">
        <f>$G$67</f>
        <v>ml</v>
      </c>
      <c r="AS117" s="180">
        <f>$H$67</f>
        <v>26.2</v>
      </c>
      <c r="AT117" s="143"/>
      <c r="AU117" s="143"/>
      <c r="AV117" s="143"/>
      <c r="AW117" s="197" t="s">
        <v>53</v>
      </c>
      <c r="AX117" s="198"/>
      <c r="AY117" s="199"/>
      <c r="AZ117" s="199"/>
      <c r="BA117" s="200"/>
      <c r="BB117" s="135"/>
      <c r="BD117" s="253" t="s">
        <v>63</v>
      </c>
      <c r="BE117" s="233"/>
      <c r="BF117" s="254" t="s">
        <v>64</v>
      </c>
      <c r="BG117" s="255"/>
      <c r="BH117" s="256">
        <f>+BH108+BH113+BH116</f>
        <v>192889.84</v>
      </c>
      <c r="BI117" s="194"/>
      <c r="BJ117" s="135"/>
      <c r="BK117" s="164"/>
      <c r="BL117" s="149"/>
      <c r="BM117" s="136"/>
      <c r="BN117" s="136"/>
      <c r="BO117" s="136"/>
      <c r="BP117" s="176"/>
      <c r="BQ117" s="189"/>
      <c r="BR117" s="176"/>
      <c r="BS117" s="176"/>
      <c r="BT117" s="176"/>
      <c r="BU117" s="176"/>
      <c r="BV117" s="176"/>
      <c r="BW117" s="176"/>
      <c r="BX117" s="176"/>
      <c r="BY117" s="176"/>
      <c r="BZ117" s="176"/>
    </row>
    <row r="118" spans="4:78" ht="18" customHeight="1" thickBot="1" x14ac:dyDescent="0.25">
      <c r="D118" s="149"/>
      <c r="E118" s="242" t="s">
        <v>327</v>
      </c>
      <c r="F118" s="243" t="s">
        <v>333</v>
      </c>
      <c r="G118" s="244" t="s">
        <v>35</v>
      </c>
      <c r="H118" s="244">
        <v>8</v>
      </c>
      <c r="I118" s="245">
        <f>+$BH$135</f>
        <v>12536.749999999998</v>
      </c>
      <c r="J118" s="245">
        <f t="shared" ref="J118" si="29">ROUND(I118*H118,2)</f>
        <v>100294</v>
      </c>
      <c r="K118" s="246"/>
      <c r="L118" s="247">
        <f t="shared" si="28"/>
        <v>5.269534618534507E-4</v>
      </c>
      <c r="M118" s="379">
        <f t="shared" si="20"/>
        <v>5.269534618534507E-4</v>
      </c>
      <c r="P118" s="155" t="s">
        <v>344</v>
      </c>
      <c r="Q118" s="169"/>
      <c r="R118" s="172"/>
      <c r="S118" s="172"/>
      <c r="T118" s="173"/>
      <c r="U118" s="154"/>
      <c r="V118" s="135"/>
      <c r="W118" s="143"/>
      <c r="X118" s="202" t="s">
        <v>62</v>
      </c>
      <c r="Y118" s="250"/>
      <c r="Z118" s="168"/>
      <c r="AA118" s="168"/>
      <c r="AB118" s="251">
        <f>SUM(AB117:AB117)</f>
        <v>44.1</v>
      </c>
      <c r="AC118" s="194"/>
      <c r="AD118" s="135"/>
      <c r="AE118" s="174"/>
      <c r="AF118" s="197" t="s">
        <v>58</v>
      </c>
      <c r="AG118" s="198"/>
      <c r="AH118" s="199"/>
      <c r="AI118" s="199"/>
      <c r="AJ118" s="200"/>
      <c r="AK118" s="153"/>
      <c r="AM118" s="174"/>
      <c r="AN118" s="347"/>
      <c r="AO118" s="348"/>
      <c r="AP118" s="349"/>
      <c r="AQ118" s="349"/>
      <c r="AR118" s="350"/>
      <c r="AS118" s="412"/>
      <c r="AT118" s="143"/>
      <c r="AU118" s="143"/>
      <c r="AV118" s="143"/>
      <c r="AW118" s="224" t="s">
        <v>54</v>
      </c>
      <c r="AX118" s="225" t="s">
        <v>55</v>
      </c>
      <c r="AY118" s="194">
        <v>0.4</v>
      </c>
      <c r="AZ118" s="226">
        <v>1600.8</v>
      </c>
      <c r="BA118" s="215">
        <f>+ROUND(AY118*AZ118,2)</f>
        <v>640.32000000000005</v>
      </c>
      <c r="BB118" s="153"/>
      <c r="BD118" s="152"/>
      <c r="BE118" s="153"/>
      <c r="BF118" s="145"/>
      <c r="BG118" s="145"/>
      <c r="BH118" s="145"/>
      <c r="BI118" s="154"/>
      <c r="BK118" s="164"/>
      <c r="BL118" s="149"/>
      <c r="BM118" s="136"/>
      <c r="BN118" s="136"/>
      <c r="BO118" s="136"/>
      <c r="BP118" s="176"/>
      <c r="BQ118" s="189"/>
      <c r="BR118" s="176"/>
      <c r="BS118" s="176"/>
      <c r="BT118" s="176"/>
      <c r="BU118" s="176"/>
      <c r="BV118" s="176"/>
      <c r="BW118" s="176"/>
      <c r="BX118" s="176"/>
      <c r="BY118" s="176"/>
      <c r="BZ118" s="176"/>
    </row>
    <row r="119" spans="4:78" ht="18" customHeight="1" thickTop="1" thickBot="1" x14ac:dyDescent="0.25">
      <c r="D119" s="240"/>
      <c r="E119" s="242" t="s">
        <v>337</v>
      </c>
      <c r="F119" s="243" t="s">
        <v>339</v>
      </c>
      <c r="G119" s="244" t="s">
        <v>35</v>
      </c>
      <c r="H119" s="244">
        <v>1</v>
      </c>
      <c r="I119" s="245">
        <f>+$BH$153</f>
        <v>93736.01</v>
      </c>
      <c r="J119" s="245">
        <f t="shared" ref="J119" si="30">ROUND(I119*H119,2)</f>
        <v>93736.01</v>
      </c>
      <c r="K119" s="246"/>
      <c r="L119" s="247">
        <f t="shared" si="28"/>
        <v>4.9249720790704992E-4</v>
      </c>
      <c r="M119" s="379">
        <f t="shared" si="20"/>
        <v>4.9249720790704992E-4</v>
      </c>
      <c r="O119" s="142"/>
      <c r="P119" s="177" t="s">
        <v>349</v>
      </c>
      <c r="Q119" s="150"/>
      <c r="R119" s="178"/>
      <c r="S119" s="149"/>
      <c r="T119" s="179" t="str">
        <f>$G$20</f>
        <v>m2</v>
      </c>
      <c r="U119" s="180">
        <f>$H$20</f>
        <v>5.6809999999999992</v>
      </c>
      <c r="V119" s="163"/>
      <c r="W119" s="143"/>
      <c r="X119" s="253" t="s">
        <v>63</v>
      </c>
      <c r="Y119" s="233"/>
      <c r="Z119" s="254" t="s">
        <v>64</v>
      </c>
      <c r="AA119" s="255"/>
      <c r="AB119" s="256">
        <f>+AB110+AB115+AB118</f>
        <v>6605.05</v>
      </c>
      <c r="AC119" s="194"/>
      <c r="AD119" s="135"/>
      <c r="AE119" s="174"/>
      <c r="AF119" s="252" t="s">
        <v>59</v>
      </c>
      <c r="AG119" s="213" t="s">
        <v>60</v>
      </c>
      <c r="AH119" s="226">
        <v>6.3800000000000008</v>
      </c>
      <c r="AI119" s="226">
        <v>1.9600688000000004</v>
      </c>
      <c r="AJ119" s="215">
        <f>+ROUND(AH119*AI119,2)</f>
        <v>12.51</v>
      </c>
      <c r="AK119" s="194"/>
      <c r="AM119" s="174"/>
      <c r="AN119" s="293" t="s">
        <v>31</v>
      </c>
      <c r="AO119" s="294" t="s">
        <v>32</v>
      </c>
      <c r="AP119" s="294" t="s">
        <v>33</v>
      </c>
      <c r="AQ119" s="294" t="s">
        <v>1</v>
      </c>
      <c r="AR119" s="294" t="s">
        <v>34</v>
      </c>
      <c r="AS119" s="295" t="s">
        <v>76</v>
      </c>
      <c r="AT119" s="143"/>
      <c r="AU119" s="143"/>
      <c r="AV119" s="143"/>
      <c r="AW119" s="224" t="s">
        <v>56</v>
      </c>
      <c r="AX119" s="225" t="s">
        <v>55</v>
      </c>
      <c r="AY119" s="194">
        <v>0.4</v>
      </c>
      <c r="AZ119" s="226">
        <v>1354.6999999999998</v>
      </c>
      <c r="BA119" s="215">
        <f>+ROUND(AY119*AZ119,2)</f>
        <v>541.88</v>
      </c>
      <c r="BB119" s="194"/>
      <c r="BD119" s="155" t="s">
        <v>435</v>
      </c>
      <c r="BE119" s="169"/>
      <c r="BF119" s="172"/>
      <c r="BG119" s="172"/>
      <c r="BH119" s="173"/>
      <c r="BI119" s="154"/>
      <c r="BJ119" s="175"/>
      <c r="BK119" s="164"/>
      <c r="BL119" s="149"/>
      <c r="BM119" s="136"/>
      <c r="BN119" s="136"/>
      <c r="BO119" s="136"/>
      <c r="BP119" s="176"/>
      <c r="BQ119" s="189"/>
      <c r="BR119" s="176"/>
      <c r="BS119" s="176"/>
      <c r="BT119" s="176"/>
      <c r="BU119" s="176"/>
      <c r="BV119" s="176"/>
      <c r="BW119" s="176"/>
      <c r="BX119" s="176"/>
      <c r="BY119" s="176"/>
      <c r="BZ119" s="176"/>
    </row>
    <row r="120" spans="4:78" ht="18" customHeight="1" thickTop="1" thickBot="1" x14ac:dyDescent="0.25">
      <c r="D120" s="240"/>
      <c r="E120" s="404"/>
      <c r="F120" s="405" t="s">
        <v>14</v>
      </c>
      <c r="G120" s="406"/>
      <c r="H120" s="407"/>
      <c r="I120" s="408"/>
      <c r="J120" s="408"/>
      <c r="K120" s="409">
        <f>SUM(K12:K119)</f>
        <v>190328002.87</v>
      </c>
      <c r="L120" s="410">
        <f>L12+L15+L23+L25+L40+L45+L48+L52+L54+L58+L61+L64+L72+L90+L100+L102+L106+L111</f>
        <v>0.99999999999999989</v>
      </c>
      <c r="M120" s="380">
        <f>SUM(M13:M119)</f>
        <v>1.0000000000000002</v>
      </c>
      <c r="O120" s="142"/>
      <c r="P120" s="183"/>
      <c r="Q120" s="184"/>
      <c r="R120" s="185"/>
      <c r="S120" s="185"/>
      <c r="T120" s="186"/>
      <c r="V120" s="145"/>
      <c r="W120" s="143"/>
      <c r="X120" s="152"/>
      <c r="Y120" s="148"/>
      <c r="Z120" s="206"/>
      <c r="AA120" s="194"/>
      <c r="AB120" s="144"/>
      <c r="AC120" s="194"/>
      <c r="AD120" s="135"/>
      <c r="AE120" s="174"/>
      <c r="AF120" s="202" t="s">
        <v>62</v>
      </c>
      <c r="AG120" s="250"/>
      <c r="AH120" s="168"/>
      <c r="AI120" s="168"/>
      <c r="AJ120" s="251">
        <f>SUM(AJ119:AJ119)</f>
        <v>12.51</v>
      </c>
      <c r="AK120" s="194"/>
      <c r="AM120" s="174"/>
      <c r="AN120" s="296" t="s">
        <v>37</v>
      </c>
      <c r="AO120" s="297"/>
      <c r="AP120" s="298"/>
      <c r="AQ120" s="298"/>
      <c r="AR120" s="299"/>
      <c r="AS120" s="300"/>
      <c r="AT120" s="143"/>
      <c r="AU120" s="143"/>
      <c r="AV120" s="143"/>
      <c r="AW120" s="224"/>
      <c r="AX120" s="225"/>
      <c r="AY120" s="226"/>
      <c r="AZ120" s="226"/>
      <c r="BA120" s="215"/>
      <c r="BB120" s="194"/>
      <c r="BD120" s="177" t="s">
        <v>442</v>
      </c>
      <c r="BE120" s="150"/>
      <c r="BF120" s="178"/>
      <c r="BG120" s="149"/>
      <c r="BH120" s="179" t="str">
        <f>$G$118</f>
        <v>UN</v>
      </c>
      <c r="BI120" s="180">
        <f>$H$118</f>
        <v>8</v>
      </c>
      <c r="BJ120" s="181"/>
      <c r="BK120" s="164"/>
      <c r="BL120" s="149"/>
      <c r="BM120" s="136"/>
      <c r="BN120" s="136"/>
      <c r="BO120" s="136"/>
      <c r="BP120" s="176"/>
      <c r="BQ120" s="147"/>
      <c r="BR120" s="176"/>
      <c r="BS120" s="176"/>
      <c r="BT120" s="176"/>
      <c r="BU120" s="176"/>
      <c r="BV120" s="176"/>
      <c r="BW120" s="176"/>
      <c r="BX120" s="176"/>
      <c r="BY120" s="176"/>
      <c r="BZ120" s="176"/>
    </row>
    <row r="121" spans="4:78" ht="18" customHeight="1" thickTop="1" thickBot="1" x14ac:dyDescent="0.25">
      <c r="E121" s="330"/>
      <c r="F121" s="152"/>
      <c r="G121" s="153"/>
      <c r="H121" s="153"/>
      <c r="I121" s="331"/>
      <c r="J121" s="331"/>
      <c r="K121" s="375">
        <v>190328002.87</v>
      </c>
      <c r="L121" s="332"/>
      <c r="M121" s="340"/>
      <c r="O121" s="142"/>
      <c r="P121" s="191" t="s">
        <v>31</v>
      </c>
      <c r="Q121" s="192" t="s">
        <v>32</v>
      </c>
      <c r="R121" s="192" t="s">
        <v>33</v>
      </c>
      <c r="S121" s="192" t="s">
        <v>1</v>
      </c>
      <c r="T121" s="192" t="s">
        <v>34</v>
      </c>
      <c r="U121" s="193" t="s">
        <v>76</v>
      </c>
      <c r="V121" s="153"/>
      <c r="W121" s="143"/>
      <c r="X121" s="155" t="s">
        <v>354</v>
      </c>
      <c r="Y121" s="169"/>
      <c r="Z121" s="172"/>
      <c r="AA121" s="172"/>
      <c r="AB121" s="173"/>
      <c r="AC121" s="154"/>
      <c r="AD121" s="135"/>
      <c r="AE121" s="174"/>
      <c r="AF121" s="253" t="s">
        <v>63</v>
      </c>
      <c r="AG121" s="233"/>
      <c r="AH121" s="254" t="s">
        <v>64</v>
      </c>
      <c r="AI121" s="255"/>
      <c r="AJ121" s="256">
        <f>+AJ112+AJ117+AJ120</f>
        <v>2541.5900000000006</v>
      </c>
      <c r="AK121" s="194"/>
      <c r="AL121" s="163"/>
      <c r="AM121" s="174"/>
      <c r="AN121" s="301" t="s">
        <v>242</v>
      </c>
      <c r="AO121" s="302" t="s">
        <v>4</v>
      </c>
      <c r="AP121" s="303">
        <v>1.05</v>
      </c>
      <c r="AQ121" s="303">
        <v>730.39278350515474</v>
      </c>
      <c r="AR121" s="215">
        <f>+ROUND(AP121*AQ121,2)</f>
        <v>766.91</v>
      </c>
      <c r="AS121" s="300"/>
      <c r="AT121" s="143"/>
      <c r="AU121" s="143"/>
      <c r="AV121" s="143"/>
      <c r="AW121" s="232" t="s">
        <v>57</v>
      </c>
      <c r="AX121" s="233"/>
      <c r="AY121" s="234"/>
      <c r="AZ121" s="234"/>
      <c r="BA121" s="235">
        <f>SUM(BA118:BA120)</f>
        <v>1182.2</v>
      </c>
      <c r="BB121" s="241"/>
      <c r="BD121" s="183"/>
      <c r="BE121" s="184"/>
      <c r="BF121" s="185"/>
      <c r="BG121" s="185"/>
      <c r="BH121" s="186"/>
      <c r="BJ121" s="181"/>
      <c r="BK121" s="194"/>
      <c r="BL121" s="149"/>
      <c r="BM121" s="136"/>
      <c r="BN121" s="136"/>
      <c r="BO121" s="136"/>
      <c r="BP121" s="176"/>
      <c r="BQ121" s="147"/>
      <c r="BR121" s="176"/>
      <c r="BS121" s="176"/>
      <c r="BT121" s="176"/>
      <c r="BU121" s="176"/>
      <c r="BV121" s="176"/>
      <c r="BW121" s="176"/>
      <c r="BX121" s="176"/>
      <c r="BY121" s="176"/>
      <c r="BZ121" s="176"/>
    </row>
    <row r="122" spans="4:78" ht="18" customHeight="1" thickTop="1" x14ac:dyDescent="0.2">
      <c r="D122" s="240"/>
      <c r="E122" s="333"/>
      <c r="F122" s="334" t="s">
        <v>95</v>
      </c>
      <c r="G122" s="335"/>
      <c r="H122" s="336"/>
      <c r="I122" s="337"/>
      <c r="J122" s="337"/>
      <c r="K122" s="338">
        <f>+$K$120</f>
        <v>190328002.87</v>
      </c>
      <c r="L122" s="339"/>
      <c r="M122" s="340"/>
      <c r="O122" s="142"/>
      <c r="P122" s="197" t="s">
        <v>37</v>
      </c>
      <c r="Q122" s="198"/>
      <c r="R122" s="199"/>
      <c r="S122" s="199"/>
      <c r="T122" s="200"/>
      <c r="U122" s="201"/>
      <c r="V122" s="153"/>
      <c r="W122" s="143"/>
      <c r="X122" s="177" t="s">
        <v>361</v>
      </c>
      <c r="Y122" s="150"/>
      <c r="Z122" s="178"/>
      <c r="AA122" s="149"/>
      <c r="AB122" s="179" t="str">
        <f>$G$34</f>
        <v>ml</v>
      </c>
      <c r="AC122" s="180">
        <f>$H$34</f>
        <v>22.220000000000002</v>
      </c>
      <c r="AD122" s="163"/>
      <c r="AE122" s="174"/>
      <c r="AF122" s="152"/>
      <c r="AG122" s="153"/>
      <c r="AH122" s="145"/>
      <c r="AI122" s="145"/>
      <c r="AJ122" s="145"/>
      <c r="AK122" s="154"/>
      <c r="AL122" s="145"/>
      <c r="AM122" s="174"/>
      <c r="AN122" s="301" t="s">
        <v>230</v>
      </c>
      <c r="AO122" s="302" t="s">
        <v>39</v>
      </c>
      <c r="AP122" s="303">
        <v>1.5</v>
      </c>
      <c r="AQ122" s="303">
        <v>170.7</v>
      </c>
      <c r="AR122" s="215">
        <f t="shared" ref="AR122:AR124" si="31">+ROUND(AP122*AQ122,2)</f>
        <v>256.05</v>
      </c>
      <c r="AS122" s="300"/>
      <c r="AT122" s="143"/>
      <c r="AU122" s="143"/>
      <c r="AV122" s="143"/>
      <c r="AW122" s="197" t="s">
        <v>58</v>
      </c>
      <c r="AX122" s="198"/>
      <c r="AY122" s="199"/>
      <c r="AZ122" s="199"/>
      <c r="BA122" s="200"/>
      <c r="BD122" s="191" t="s">
        <v>31</v>
      </c>
      <c r="BE122" s="192" t="s">
        <v>32</v>
      </c>
      <c r="BF122" s="192" t="s">
        <v>33</v>
      </c>
      <c r="BG122" s="192" t="s">
        <v>1</v>
      </c>
      <c r="BH122" s="192" t="s">
        <v>34</v>
      </c>
      <c r="BI122" s="193" t="s">
        <v>76</v>
      </c>
      <c r="BJ122" s="194"/>
      <c r="BK122" s="194"/>
      <c r="BL122" s="149"/>
      <c r="BM122" s="136"/>
      <c r="BN122" s="136"/>
      <c r="BO122" s="136"/>
      <c r="BP122" s="176"/>
      <c r="BQ122" s="147"/>
      <c r="BR122" s="176"/>
      <c r="BS122" s="176"/>
      <c r="BT122" s="176"/>
      <c r="BU122" s="176"/>
      <c r="BV122" s="176"/>
      <c r="BW122" s="176"/>
      <c r="BX122" s="176"/>
      <c r="BY122" s="176"/>
      <c r="BZ122" s="176"/>
    </row>
    <row r="123" spans="4:78" ht="18" customHeight="1" thickBot="1" x14ac:dyDescent="0.25">
      <c r="D123" s="240"/>
      <c r="E123" s="341"/>
      <c r="F123" s="342" t="s">
        <v>125</v>
      </c>
      <c r="G123" s="343"/>
      <c r="H123" s="344">
        <v>0.157</v>
      </c>
      <c r="I123" s="345"/>
      <c r="J123" s="345"/>
      <c r="K123" s="346">
        <f>H123*K122</f>
        <v>29881496.45059</v>
      </c>
      <c r="L123" s="332"/>
      <c r="M123" s="340"/>
      <c r="O123" s="142"/>
      <c r="P123" s="216"/>
      <c r="Q123" s="213"/>
      <c r="R123" s="214"/>
      <c r="S123" s="214"/>
      <c r="T123" s="215">
        <f>+ROUND(R123*S123,2)</f>
        <v>0</v>
      </c>
      <c r="U123" s="201"/>
      <c r="V123" s="176"/>
      <c r="W123" s="143"/>
      <c r="X123" s="183"/>
      <c r="Y123" s="184"/>
      <c r="Z123" s="185"/>
      <c r="AA123" s="185"/>
      <c r="AB123" s="186"/>
      <c r="AD123" s="145"/>
      <c r="AE123" s="174"/>
      <c r="AF123" s="155" t="s">
        <v>375</v>
      </c>
      <c r="AG123" s="169"/>
      <c r="AH123" s="172"/>
      <c r="AI123" s="172"/>
      <c r="AJ123" s="173"/>
      <c r="AK123" s="154"/>
      <c r="AL123" s="143"/>
      <c r="AM123" s="143"/>
      <c r="AN123" s="301" t="s">
        <v>231</v>
      </c>
      <c r="AO123" s="302" t="s">
        <v>39</v>
      </c>
      <c r="AP123" s="303">
        <v>0.1</v>
      </c>
      <c r="AQ123" s="303">
        <v>927.5</v>
      </c>
      <c r="AR123" s="215">
        <f t="shared" si="31"/>
        <v>92.75</v>
      </c>
      <c r="AS123" s="300"/>
      <c r="AT123" s="143"/>
      <c r="AU123" s="143"/>
      <c r="AV123" s="143"/>
      <c r="AW123" s="252" t="s">
        <v>59</v>
      </c>
      <c r="AX123" s="213" t="s">
        <v>60</v>
      </c>
      <c r="AY123" s="226">
        <v>1.1349999999999998</v>
      </c>
      <c r="AZ123" s="226">
        <v>1.9600688000000004</v>
      </c>
      <c r="BA123" s="215">
        <f>+ROUND(AY123*AZ123,2)</f>
        <v>2.2200000000000002</v>
      </c>
      <c r="BB123" s="153"/>
      <c r="BD123" s="197" t="s">
        <v>37</v>
      </c>
      <c r="BE123" s="198"/>
      <c r="BF123" s="199"/>
      <c r="BG123" s="199"/>
      <c r="BH123" s="200"/>
      <c r="BI123" s="201"/>
      <c r="BJ123" s="194"/>
      <c r="BK123" s="194"/>
      <c r="BL123" s="149"/>
      <c r="BM123" s="136"/>
      <c r="BN123" s="136"/>
      <c r="BO123" s="136"/>
      <c r="BP123" s="176"/>
      <c r="BQ123" s="147"/>
      <c r="BR123" s="176"/>
      <c r="BS123" s="176"/>
      <c r="BT123" s="176"/>
      <c r="BU123" s="176"/>
      <c r="BV123" s="176"/>
      <c r="BW123" s="176"/>
      <c r="BX123" s="176"/>
      <c r="BY123" s="176"/>
      <c r="BZ123" s="176"/>
    </row>
    <row r="124" spans="4:78" ht="18" customHeight="1" thickTop="1" x14ac:dyDescent="0.2">
      <c r="D124" s="240"/>
      <c r="E124" s="341"/>
      <c r="F124" s="342" t="s">
        <v>97</v>
      </c>
      <c r="G124" s="343"/>
      <c r="H124" s="344"/>
      <c r="I124" s="345"/>
      <c r="J124" s="345"/>
      <c r="K124" s="346">
        <f>SUM(K122:K123)</f>
        <v>220209499.32059002</v>
      </c>
      <c r="L124" s="332"/>
      <c r="M124" s="340"/>
      <c r="O124" s="142"/>
      <c r="P124" s="224" t="s">
        <v>50</v>
      </c>
      <c r="Q124" s="225" t="s">
        <v>28</v>
      </c>
      <c r="R124" s="226">
        <v>0.03</v>
      </c>
      <c r="S124" s="219"/>
      <c r="T124" s="223">
        <f>+ROUND(R124*S124,2)</f>
        <v>0</v>
      </c>
      <c r="U124" s="201"/>
      <c r="V124" s="153"/>
      <c r="W124" s="143"/>
      <c r="X124" s="191" t="s">
        <v>31</v>
      </c>
      <c r="Y124" s="192" t="s">
        <v>32</v>
      </c>
      <c r="Z124" s="192" t="s">
        <v>33</v>
      </c>
      <c r="AA124" s="192" t="s">
        <v>1</v>
      </c>
      <c r="AB124" s="192" t="s">
        <v>34</v>
      </c>
      <c r="AC124" s="193" t="s">
        <v>76</v>
      </c>
      <c r="AD124" s="153"/>
      <c r="AE124" s="174"/>
      <c r="AF124" s="177" t="s">
        <v>376</v>
      </c>
      <c r="AG124" s="150"/>
      <c r="AH124" s="178"/>
      <c r="AI124" s="149"/>
      <c r="AJ124" s="179" t="str">
        <f>$G$49</f>
        <v>m2</v>
      </c>
      <c r="AK124" s="180">
        <f>$H$49</f>
        <v>232.28800000000001</v>
      </c>
      <c r="AL124" s="143"/>
      <c r="AM124" s="143"/>
      <c r="AN124" s="305" t="s">
        <v>50</v>
      </c>
      <c r="AO124" s="306" t="s">
        <v>28</v>
      </c>
      <c r="AP124" s="307">
        <v>0.03</v>
      </c>
      <c r="AQ124" s="308">
        <v>1115.71</v>
      </c>
      <c r="AR124" s="215">
        <f t="shared" si="31"/>
        <v>33.47</v>
      </c>
      <c r="AS124" s="300"/>
      <c r="AT124" s="143"/>
      <c r="AU124" s="143"/>
      <c r="AV124" s="143"/>
      <c r="AW124" s="202" t="s">
        <v>62</v>
      </c>
      <c r="AX124" s="250"/>
      <c r="AY124" s="168"/>
      <c r="AZ124" s="168"/>
      <c r="BA124" s="251">
        <f>SUM(BA123:BA123)</f>
        <v>2.2200000000000002</v>
      </c>
      <c r="BB124" s="194"/>
      <c r="BD124" s="216" t="s">
        <v>442</v>
      </c>
      <c r="BE124" s="213" t="s">
        <v>35</v>
      </c>
      <c r="BF124" s="214">
        <v>1</v>
      </c>
      <c r="BG124" s="214">
        <v>11385</v>
      </c>
      <c r="BH124" s="217">
        <f>ROUND((BG124*BF124),2)</f>
        <v>11385</v>
      </c>
      <c r="BI124" s="201"/>
      <c r="BJ124" s="241">
        <f>+BH124*BI120</f>
        <v>91080</v>
      </c>
      <c r="BK124" s="194"/>
      <c r="BL124" s="149"/>
      <c r="BM124" s="136"/>
      <c r="BN124" s="136"/>
      <c r="BO124" s="136"/>
      <c r="BP124" s="176"/>
      <c r="BQ124" s="147"/>
      <c r="BR124" s="176"/>
      <c r="BS124" s="176"/>
      <c r="BT124" s="176"/>
      <c r="BU124" s="176"/>
      <c r="BV124" s="176"/>
      <c r="BW124" s="176"/>
      <c r="BX124" s="176"/>
      <c r="BY124" s="176"/>
      <c r="BZ124" s="176"/>
    </row>
    <row r="125" spans="4:78" ht="18" customHeight="1" thickBot="1" x14ac:dyDescent="0.25">
      <c r="D125" s="240"/>
      <c r="E125" s="341"/>
      <c r="F125" s="342" t="s">
        <v>96</v>
      </c>
      <c r="G125" s="343"/>
      <c r="H125" s="344">
        <v>0.1</v>
      </c>
      <c r="I125" s="345"/>
      <c r="J125" s="345"/>
      <c r="K125" s="346">
        <f>H125*K124</f>
        <v>22020949.932059005</v>
      </c>
      <c r="L125" s="339"/>
      <c r="M125" s="340"/>
      <c r="O125" s="142"/>
      <c r="P125" s="232" t="s">
        <v>51</v>
      </c>
      <c r="Q125" s="233"/>
      <c r="R125" s="234"/>
      <c r="S125" s="234"/>
      <c r="T125" s="235">
        <f>SUM(T123:T124)</f>
        <v>0</v>
      </c>
      <c r="U125" s="235"/>
      <c r="V125" s="194"/>
      <c r="W125" s="143"/>
      <c r="X125" s="197" t="s">
        <v>37</v>
      </c>
      <c r="Y125" s="198"/>
      <c r="Z125" s="199"/>
      <c r="AA125" s="199"/>
      <c r="AB125" s="200"/>
      <c r="AC125" s="201"/>
      <c r="AD125" s="153"/>
      <c r="AE125" s="174"/>
      <c r="AF125" s="177" t="s">
        <v>377</v>
      </c>
      <c r="AG125" s="150"/>
      <c r="AH125" s="178"/>
      <c r="AI125" s="149"/>
      <c r="AJ125" s="179" t="str">
        <f>$G$51</f>
        <v>m2</v>
      </c>
      <c r="AK125" s="180">
        <f>$H$51</f>
        <v>1.62</v>
      </c>
      <c r="AL125" s="143"/>
      <c r="AM125" s="143"/>
      <c r="AN125" s="309" t="s">
        <v>51</v>
      </c>
      <c r="AO125" s="310"/>
      <c r="AP125" s="311"/>
      <c r="AQ125" s="311"/>
      <c r="AR125" s="312">
        <f>SUM(AR121:AR124)</f>
        <v>1149.18</v>
      </c>
      <c r="AS125" s="312"/>
      <c r="AT125" s="143"/>
      <c r="AU125" s="143"/>
      <c r="AV125" s="143"/>
      <c r="AW125" s="253" t="s">
        <v>63</v>
      </c>
      <c r="AX125" s="233"/>
      <c r="AY125" s="254" t="s">
        <v>64</v>
      </c>
      <c r="AZ125" s="255"/>
      <c r="BA125" s="256">
        <f>+BA116+BA121+BA124</f>
        <v>2185.56</v>
      </c>
      <c r="BB125" s="194"/>
      <c r="BD125" s="224" t="s">
        <v>50</v>
      </c>
      <c r="BE125" s="225" t="s">
        <v>28</v>
      </c>
      <c r="BF125" s="226">
        <v>0.03</v>
      </c>
      <c r="BG125" s="226">
        <v>11385</v>
      </c>
      <c r="BH125" s="217">
        <f>ROUND((BG125*BF125),2)</f>
        <v>341.55</v>
      </c>
      <c r="BI125" s="201"/>
      <c r="BJ125" s="194"/>
      <c r="BK125" s="194"/>
      <c r="BL125" s="149"/>
      <c r="BM125" s="136"/>
      <c r="BN125" s="136"/>
      <c r="BO125" s="136"/>
      <c r="BP125" s="176"/>
      <c r="BQ125" s="147"/>
      <c r="BR125" s="176"/>
      <c r="BS125" s="176"/>
      <c r="BT125" s="176"/>
      <c r="BU125" s="176"/>
      <c r="BV125" s="176"/>
      <c r="BW125" s="176"/>
      <c r="BX125" s="176"/>
      <c r="BY125" s="176"/>
      <c r="BZ125" s="176"/>
    </row>
    <row r="126" spans="4:78" ht="18" customHeight="1" thickTop="1" x14ac:dyDescent="0.2">
      <c r="D126" s="240"/>
      <c r="E126" s="341"/>
      <c r="F126" s="342" t="s">
        <v>97</v>
      </c>
      <c r="G126" s="343"/>
      <c r="H126" s="344"/>
      <c r="I126" s="345"/>
      <c r="J126" s="345"/>
      <c r="K126" s="346">
        <f>SUM(K124:K125)</f>
        <v>242230449.25264901</v>
      </c>
      <c r="L126" s="332"/>
      <c r="M126" s="340"/>
      <c r="O126" s="142"/>
      <c r="P126" s="197" t="s">
        <v>53</v>
      </c>
      <c r="Q126" s="198"/>
      <c r="R126" s="199"/>
      <c r="S126" s="199"/>
      <c r="T126" s="200"/>
      <c r="U126" s="153"/>
      <c r="V126" s="194"/>
      <c r="W126" s="143"/>
      <c r="X126" s="216" t="s">
        <v>361</v>
      </c>
      <c r="Y126" s="213" t="s">
        <v>68</v>
      </c>
      <c r="Z126" s="214">
        <v>1.1000000000000001</v>
      </c>
      <c r="AA126" s="214">
        <v>8711.65</v>
      </c>
      <c r="AB126" s="215">
        <f>+ROUND(Z126*AA126,2)</f>
        <v>9582.82</v>
      </c>
      <c r="AC126" s="201"/>
      <c r="AD126" s="176"/>
      <c r="AE126" s="174"/>
      <c r="AF126" s="293" t="s">
        <v>31</v>
      </c>
      <c r="AG126" s="294" t="s">
        <v>32</v>
      </c>
      <c r="AH126" s="294" t="s">
        <v>33</v>
      </c>
      <c r="AI126" s="294" t="s">
        <v>1</v>
      </c>
      <c r="AJ126" s="294" t="s">
        <v>34</v>
      </c>
      <c r="AK126" s="295" t="s">
        <v>76</v>
      </c>
      <c r="AL126" s="143"/>
      <c r="AM126" s="143"/>
      <c r="AN126" s="296" t="s">
        <v>53</v>
      </c>
      <c r="AO126" s="297"/>
      <c r="AP126" s="298"/>
      <c r="AQ126" s="298"/>
      <c r="AR126" s="299"/>
      <c r="AS126" s="313"/>
      <c r="AT126" s="143"/>
      <c r="AU126" s="143"/>
      <c r="AV126" s="143"/>
      <c r="AW126" s="182"/>
      <c r="AX126" s="153"/>
      <c r="AY126" s="153"/>
      <c r="AZ126" s="153"/>
      <c r="BA126" s="153"/>
      <c r="BB126" s="194"/>
      <c r="BD126" s="232" t="s">
        <v>51</v>
      </c>
      <c r="BE126" s="233"/>
      <c r="BF126" s="234"/>
      <c r="BG126" s="234"/>
      <c r="BH126" s="235">
        <f>SUM(BH124:BH125)</f>
        <v>11726.55</v>
      </c>
      <c r="BI126" s="235"/>
      <c r="BJ126" s="194"/>
      <c r="BK126" s="194"/>
      <c r="BL126" s="149"/>
      <c r="BM126" s="136"/>
      <c r="BN126" s="136"/>
      <c r="BO126" s="136"/>
      <c r="BP126" s="176"/>
      <c r="BQ126" s="189"/>
      <c r="BR126" s="176"/>
      <c r="BS126" s="176"/>
      <c r="BT126" s="176"/>
      <c r="BU126" s="176"/>
      <c r="BV126" s="176"/>
      <c r="BW126" s="176"/>
      <c r="BX126" s="176"/>
      <c r="BY126" s="176"/>
      <c r="BZ126" s="176"/>
    </row>
    <row r="127" spans="4:78" ht="18" customHeight="1" thickBot="1" x14ac:dyDescent="0.25">
      <c r="D127" s="240"/>
      <c r="E127" s="341"/>
      <c r="F127" s="342" t="s">
        <v>98</v>
      </c>
      <c r="G127" s="343"/>
      <c r="H127" s="344">
        <v>0.24850000000000003</v>
      </c>
      <c r="I127" s="345"/>
      <c r="J127" s="345"/>
      <c r="K127" s="346">
        <f>H127*K126</f>
        <v>60194266.639283285</v>
      </c>
      <c r="L127" s="339"/>
      <c r="M127" s="340"/>
      <c r="O127" s="142"/>
      <c r="P127" s="224" t="s">
        <v>54</v>
      </c>
      <c r="Q127" s="225" t="s">
        <v>55</v>
      </c>
      <c r="R127" s="226">
        <v>0.1</v>
      </c>
      <c r="S127" s="226">
        <v>1600.8</v>
      </c>
      <c r="T127" s="215">
        <f>+ROUND(R127*S127,2)</f>
        <v>160.08000000000001</v>
      </c>
      <c r="U127" s="194"/>
      <c r="V127" s="194"/>
      <c r="W127" s="143"/>
      <c r="X127" s="216" t="s">
        <v>274</v>
      </c>
      <c r="Y127" s="213" t="s">
        <v>28</v>
      </c>
      <c r="Z127" s="214">
        <v>1</v>
      </c>
      <c r="AA127" s="214">
        <v>287.4846</v>
      </c>
      <c r="AB127" s="215">
        <f>+ROUND(Z127*AA127,2)</f>
        <v>287.48</v>
      </c>
      <c r="AC127" s="201"/>
      <c r="AD127" s="176"/>
      <c r="AE127" s="174"/>
      <c r="AF127" s="296" t="s">
        <v>37</v>
      </c>
      <c r="AG127" s="297"/>
      <c r="AH127" s="298"/>
      <c r="AI127" s="298"/>
      <c r="AJ127" s="299"/>
      <c r="AK127" s="300"/>
      <c r="AL127" s="143"/>
      <c r="AM127" s="143"/>
      <c r="AN127" s="305" t="s">
        <v>54</v>
      </c>
      <c r="AO127" s="306" t="s">
        <v>55</v>
      </c>
      <c r="AP127" s="307">
        <v>0.2</v>
      </c>
      <c r="AQ127" s="226">
        <v>1600.8</v>
      </c>
      <c r="AR127" s="215">
        <f>+ROUND(AP127*AQ127,2)</f>
        <v>320.16000000000003</v>
      </c>
      <c r="AS127" s="314"/>
      <c r="AT127" s="143"/>
      <c r="AU127" s="143"/>
      <c r="AV127" s="143"/>
      <c r="AW127" s="155" t="s">
        <v>430</v>
      </c>
      <c r="AX127" s="169"/>
      <c r="AY127" s="172"/>
      <c r="AZ127" s="172"/>
      <c r="BA127" s="173"/>
      <c r="BB127" s="154"/>
      <c r="BD127" s="197" t="s">
        <v>53</v>
      </c>
      <c r="BE127" s="198"/>
      <c r="BF127" s="199"/>
      <c r="BG127" s="199"/>
      <c r="BH127" s="200"/>
      <c r="BI127" s="153"/>
      <c r="BJ127" s="194"/>
      <c r="BK127" s="194"/>
      <c r="BL127" s="149"/>
      <c r="BM127" s="136"/>
      <c r="BN127" s="136"/>
      <c r="BO127" s="136"/>
      <c r="BP127" s="176"/>
      <c r="BQ127" s="279"/>
      <c r="BR127" s="176"/>
      <c r="BS127" s="176"/>
      <c r="BT127" s="176"/>
      <c r="BU127" s="176"/>
      <c r="BV127" s="176"/>
      <c r="BW127" s="176"/>
      <c r="BX127" s="176"/>
      <c r="BY127" s="176"/>
      <c r="BZ127" s="176"/>
    </row>
    <row r="128" spans="4:78" ht="18" customHeight="1" thickTop="1" thickBot="1" x14ac:dyDescent="0.25">
      <c r="D128" s="240"/>
      <c r="E128" s="404"/>
      <c r="F128" s="405" t="s">
        <v>101</v>
      </c>
      <c r="G128" s="406"/>
      <c r="H128" s="407"/>
      <c r="I128" s="408"/>
      <c r="J128" s="408"/>
      <c r="K128" s="411">
        <f>SUM(K126:K127)</f>
        <v>302424715.89193231</v>
      </c>
      <c r="L128" s="332"/>
      <c r="M128" s="351">
        <f>+K128/K120</f>
        <v>1.5889659500000002</v>
      </c>
      <c r="O128" s="142"/>
      <c r="P128" s="224" t="s">
        <v>56</v>
      </c>
      <c r="Q128" s="225" t="s">
        <v>55</v>
      </c>
      <c r="R128" s="226">
        <v>0.3</v>
      </c>
      <c r="S128" s="226">
        <v>1354.6999999999998</v>
      </c>
      <c r="T128" s="215">
        <f>+ROUND(R128*S128,2)</f>
        <v>406.41</v>
      </c>
      <c r="U128" s="194"/>
      <c r="V128" s="194"/>
      <c r="W128" s="143"/>
      <c r="X128" s="224" t="s">
        <v>50</v>
      </c>
      <c r="Y128" s="225" t="s">
        <v>28</v>
      </c>
      <c r="Z128" s="226">
        <v>0.03</v>
      </c>
      <c r="AA128" s="219">
        <v>9870.2999999999993</v>
      </c>
      <c r="AB128" s="223">
        <f>+ROUND(Z128*AA128,2)</f>
        <v>296.11</v>
      </c>
      <c r="AC128" s="201"/>
      <c r="AD128" s="153"/>
      <c r="AE128" s="174"/>
      <c r="AF128" s="301" t="s">
        <v>133</v>
      </c>
      <c r="AG128" s="302" t="s">
        <v>39</v>
      </c>
      <c r="AH128" s="303">
        <v>30</v>
      </c>
      <c r="AI128" s="303">
        <v>53.393000000000001</v>
      </c>
      <c r="AJ128" s="215">
        <f>+ROUND(AH128*AI128,2)</f>
        <v>1601.79</v>
      </c>
      <c r="AK128" s="300"/>
      <c r="AL128" s="143"/>
      <c r="AM128" s="143"/>
      <c r="AN128" s="305" t="s">
        <v>56</v>
      </c>
      <c r="AO128" s="306" t="s">
        <v>55</v>
      </c>
      <c r="AP128" s="307">
        <v>0.2</v>
      </c>
      <c r="AQ128" s="226">
        <v>1354.6999999999998</v>
      </c>
      <c r="AR128" s="215">
        <f>+ROUND(AP128*AQ128,2)</f>
        <v>270.94</v>
      </c>
      <c r="AS128" s="314"/>
      <c r="AT128" s="143"/>
      <c r="AU128" s="143"/>
      <c r="AV128" s="143"/>
      <c r="AW128" s="177" t="s">
        <v>433</v>
      </c>
      <c r="AX128" s="150"/>
      <c r="AY128" s="178"/>
      <c r="AZ128" s="149"/>
      <c r="BA128" s="179" t="str">
        <f>$G$109</f>
        <v>m2</v>
      </c>
      <c r="BB128" s="180">
        <f>$H$109</f>
        <v>442.9</v>
      </c>
      <c r="BD128" s="224" t="s">
        <v>54</v>
      </c>
      <c r="BE128" s="225" t="s">
        <v>55</v>
      </c>
      <c r="BF128" s="226">
        <v>0.5</v>
      </c>
      <c r="BG128" s="226">
        <v>1600.8</v>
      </c>
      <c r="BH128" s="215">
        <f>+ROUND(BF128*BG128,2)</f>
        <v>800.4</v>
      </c>
      <c r="BI128" s="194"/>
      <c r="BJ128" s="194"/>
      <c r="BK128" s="136"/>
      <c r="BL128" s="149"/>
      <c r="BM128" s="136"/>
      <c r="BN128" s="136"/>
      <c r="BO128" s="136"/>
      <c r="BP128" s="176"/>
      <c r="BQ128" s="304"/>
      <c r="BR128" s="176"/>
      <c r="BS128" s="176"/>
      <c r="BT128" s="176"/>
      <c r="BU128" s="176"/>
      <c r="BV128" s="176"/>
      <c r="BW128" s="176"/>
      <c r="BX128" s="176"/>
      <c r="BY128" s="176"/>
      <c r="BZ128" s="176"/>
    </row>
    <row r="129" spans="4:78" ht="18" customHeight="1" thickTop="1" thickBot="1" x14ac:dyDescent="0.25">
      <c r="D129" s="240"/>
      <c r="E129" s="136"/>
      <c r="F129" s="288"/>
      <c r="G129" s="148"/>
      <c r="H129" s="148"/>
      <c r="I129" s="353"/>
      <c r="J129" s="354" t="e">
        <f>SUM(#REF!)</f>
        <v>#REF!</v>
      </c>
      <c r="K129" s="355"/>
      <c r="L129" s="339"/>
      <c r="M129" s="340"/>
      <c r="O129" s="142"/>
      <c r="P129" s="248"/>
      <c r="Q129" s="249"/>
      <c r="R129" s="219"/>
      <c r="S129" s="219"/>
      <c r="T129" s="215"/>
      <c r="U129" s="194"/>
      <c r="W129" s="143"/>
      <c r="X129" s="232" t="s">
        <v>51</v>
      </c>
      <c r="Y129" s="233"/>
      <c r="Z129" s="234"/>
      <c r="AA129" s="234"/>
      <c r="AB129" s="235">
        <f>SUM(AB126:AB128)</f>
        <v>10166.41</v>
      </c>
      <c r="AC129" s="235"/>
      <c r="AD129" s="194"/>
      <c r="AE129" s="174"/>
      <c r="AF129" s="301" t="s">
        <v>226</v>
      </c>
      <c r="AG129" s="302" t="s">
        <v>28</v>
      </c>
      <c r="AH129" s="303">
        <v>1</v>
      </c>
      <c r="AI129" s="303">
        <v>526.73453166666673</v>
      </c>
      <c r="AJ129" s="215">
        <f t="shared" ref="AJ129:AJ130" si="32">+ROUND(AH129*AI129,2)</f>
        <v>526.73</v>
      </c>
      <c r="AK129" s="300"/>
      <c r="AL129" s="143"/>
      <c r="AM129" s="143"/>
      <c r="AN129" s="315"/>
      <c r="AO129" s="316"/>
      <c r="AP129" s="308"/>
      <c r="AQ129" s="308"/>
      <c r="AR129" s="317"/>
      <c r="AS129" s="314"/>
      <c r="AT129" s="143"/>
      <c r="AU129" s="143"/>
      <c r="AV129" s="143"/>
      <c r="AW129" s="187"/>
      <c r="AX129" s="161"/>
      <c r="AY129" s="159"/>
      <c r="AZ129" s="159"/>
      <c r="BA129" s="280"/>
      <c r="BD129" s="224" t="s">
        <v>56</v>
      </c>
      <c r="BE129" s="225" t="s">
        <v>55</v>
      </c>
      <c r="BF129" s="226"/>
      <c r="BG129" s="226">
        <v>1354.6999999999998</v>
      </c>
      <c r="BH129" s="215">
        <f>+ROUND(BF129*BG129,2)</f>
        <v>0</v>
      </c>
      <c r="BI129" s="194"/>
      <c r="BK129" s="136"/>
      <c r="BL129" s="149"/>
      <c r="BM129" s="136"/>
      <c r="BN129" s="136"/>
      <c r="BO129" s="136"/>
      <c r="BP129" s="176"/>
      <c r="BQ129" s="279"/>
      <c r="BR129" s="176"/>
      <c r="BS129" s="176"/>
      <c r="BT129" s="176"/>
      <c r="BU129" s="176"/>
      <c r="BV129" s="176"/>
      <c r="BW129" s="176"/>
      <c r="BX129" s="176"/>
      <c r="BY129" s="176"/>
      <c r="BZ129" s="176"/>
    </row>
    <row r="130" spans="4:78" ht="18" customHeight="1" thickTop="1" x14ac:dyDescent="0.2">
      <c r="M130" s="379"/>
      <c r="O130" s="142"/>
      <c r="P130" s="232" t="s">
        <v>57</v>
      </c>
      <c r="Q130" s="233"/>
      <c r="R130" s="234"/>
      <c r="S130" s="234"/>
      <c r="T130" s="235">
        <f>SUM(T127:T129)</f>
        <v>566.49</v>
      </c>
      <c r="V130" s="149"/>
      <c r="W130" s="143"/>
      <c r="X130" s="197" t="s">
        <v>53</v>
      </c>
      <c r="Y130" s="198"/>
      <c r="Z130" s="199"/>
      <c r="AA130" s="199"/>
      <c r="AB130" s="200"/>
      <c r="AC130" s="241"/>
      <c r="AD130" s="194"/>
      <c r="AE130" s="174"/>
      <c r="AF130" s="305" t="s">
        <v>50</v>
      </c>
      <c r="AG130" s="306" t="s">
        <v>28</v>
      </c>
      <c r="AH130" s="307">
        <v>0.03</v>
      </c>
      <c r="AI130" s="308">
        <v>2128.52</v>
      </c>
      <c r="AJ130" s="215">
        <f t="shared" si="32"/>
        <v>63.86</v>
      </c>
      <c r="AK130" s="300"/>
      <c r="AL130" s="143"/>
      <c r="AM130" s="143"/>
      <c r="AN130" s="309" t="s">
        <v>57</v>
      </c>
      <c r="AO130" s="310"/>
      <c r="AP130" s="311"/>
      <c r="AQ130" s="311"/>
      <c r="AR130" s="235">
        <f>SUM(AR127:AR129)</f>
        <v>591.1</v>
      </c>
      <c r="AS130" s="412"/>
      <c r="AT130" s="143"/>
      <c r="AU130" s="143"/>
      <c r="AV130" s="143"/>
      <c r="AW130" s="191" t="s">
        <v>31</v>
      </c>
      <c r="AX130" s="192" t="s">
        <v>32</v>
      </c>
      <c r="AY130" s="192" t="s">
        <v>33</v>
      </c>
      <c r="AZ130" s="192" t="s">
        <v>1</v>
      </c>
      <c r="BA130" s="192" t="s">
        <v>34</v>
      </c>
      <c r="BB130" s="135"/>
      <c r="BD130" s="248"/>
      <c r="BE130" s="249"/>
      <c r="BF130" s="219"/>
      <c r="BG130" s="219"/>
      <c r="BH130" s="215"/>
      <c r="BI130" s="194"/>
      <c r="BK130" s="194"/>
      <c r="BL130" s="149"/>
      <c r="BM130" s="136"/>
      <c r="BN130" s="136"/>
      <c r="BO130" s="136"/>
      <c r="BP130" s="176"/>
      <c r="BQ130" s="279"/>
      <c r="BR130" s="176"/>
      <c r="BS130" s="176"/>
      <c r="BT130" s="176"/>
      <c r="BU130" s="176"/>
      <c r="BV130" s="176"/>
      <c r="BW130" s="176"/>
      <c r="BX130" s="176"/>
      <c r="BY130" s="176"/>
      <c r="BZ130" s="176"/>
    </row>
    <row r="131" spans="4:78" ht="18" customHeight="1" x14ac:dyDescent="0.2">
      <c r="M131" s="379"/>
      <c r="O131" s="142"/>
      <c r="P131" s="197" t="s">
        <v>58</v>
      </c>
      <c r="Q131" s="198"/>
      <c r="R131" s="199"/>
      <c r="S131" s="199"/>
      <c r="T131" s="200"/>
      <c r="U131" s="153"/>
      <c r="W131" s="143"/>
      <c r="X131" s="224" t="s">
        <v>54</v>
      </c>
      <c r="Y131" s="225" t="s">
        <v>55</v>
      </c>
      <c r="Z131" s="226">
        <v>0.7</v>
      </c>
      <c r="AA131" s="226">
        <v>1600.8</v>
      </c>
      <c r="AB131" s="215">
        <f>+ROUND(Z131*AA131,2)</f>
        <v>1120.56</v>
      </c>
      <c r="AC131" s="194"/>
      <c r="AD131" s="194"/>
      <c r="AE131" s="174"/>
      <c r="AF131" s="309" t="s">
        <v>51</v>
      </c>
      <c r="AG131" s="310"/>
      <c r="AH131" s="311"/>
      <c r="AI131" s="311"/>
      <c r="AJ131" s="312">
        <f>SUM(AJ128:AJ130)</f>
        <v>2192.38</v>
      </c>
      <c r="AK131" s="312"/>
      <c r="AL131" s="143"/>
      <c r="AM131" s="143"/>
      <c r="AN131" s="296" t="s">
        <v>58</v>
      </c>
      <c r="AO131" s="297"/>
      <c r="AP131" s="298"/>
      <c r="AQ131" s="298"/>
      <c r="AR131" s="299"/>
      <c r="AS131" s="318"/>
      <c r="AT131" s="143"/>
      <c r="AU131" s="143"/>
      <c r="AV131" s="143"/>
      <c r="AW131" s="197" t="s">
        <v>37</v>
      </c>
      <c r="AX131" s="198"/>
      <c r="AY131" s="199"/>
      <c r="AZ131" s="199"/>
      <c r="BA131" s="200"/>
      <c r="BB131" s="193"/>
      <c r="BD131" s="232" t="s">
        <v>57</v>
      </c>
      <c r="BE131" s="233"/>
      <c r="BF131" s="234"/>
      <c r="BG131" s="234"/>
      <c r="BH131" s="235">
        <f>SUM(BH128:BH130)</f>
        <v>800.4</v>
      </c>
      <c r="BI131" s="138">
        <f>+BH131/BH126</f>
        <v>6.8255369226243021E-2</v>
      </c>
      <c r="BJ131" s="149"/>
      <c r="BK131" s="194"/>
      <c r="BL131" s="149"/>
      <c r="BM131" s="136"/>
      <c r="BN131" s="136"/>
      <c r="BO131" s="136"/>
      <c r="BP131" s="176"/>
      <c r="BQ131" s="189"/>
      <c r="BR131" s="176"/>
      <c r="BS131" s="176"/>
      <c r="BT131" s="176"/>
      <c r="BU131" s="176"/>
      <c r="BV131" s="176"/>
      <c r="BW131" s="176"/>
      <c r="BX131" s="176"/>
      <c r="BY131" s="176"/>
      <c r="BZ131" s="176"/>
    </row>
    <row r="132" spans="4:78" ht="18" customHeight="1" x14ac:dyDescent="0.2">
      <c r="O132" s="142"/>
      <c r="P132" s="252" t="s">
        <v>59</v>
      </c>
      <c r="Q132" s="213" t="s">
        <v>60</v>
      </c>
      <c r="R132" s="226">
        <v>150</v>
      </c>
      <c r="S132" s="226">
        <v>1.9600688000000004</v>
      </c>
      <c r="T132" s="215">
        <f>+ROUND(R132*S132,2)</f>
        <v>294.01</v>
      </c>
      <c r="U132" s="194"/>
      <c r="X132" s="224" t="s">
        <v>56</v>
      </c>
      <c r="Y132" s="225" t="s">
        <v>55</v>
      </c>
      <c r="Z132" s="226">
        <v>0.7</v>
      </c>
      <c r="AA132" s="226">
        <v>1354.6999999999998</v>
      </c>
      <c r="AB132" s="215">
        <f>+ROUND(Z132*AA132,2)</f>
        <v>948.29</v>
      </c>
      <c r="AC132" s="194"/>
      <c r="AD132" s="194"/>
      <c r="AE132" s="174"/>
      <c r="AF132" s="296" t="s">
        <v>53</v>
      </c>
      <c r="AG132" s="297"/>
      <c r="AH132" s="298"/>
      <c r="AI132" s="298"/>
      <c r="AJ132" s="299"/>
      <c r="AK132" s="313"/>
      <c r="AL132" s="143"/>
      <c r="AM132" s="143"/>
      <c r="AN132" s="319" t="s">
        <v>59</v>
      </c>
      <c r="AO132" s="302" t="s">
        <v>60</v>
      </c>
      <c r="AP132" s="307">
        <v>12.1</v>
      </c>
      <c r="AQ132" s="226">
        <v>1.9600688000000004</v>
      </c>
      <c r="AR132" s="215">
        <f>+ROUND(AP132*AQ132,2)</f>
        <v>23.72</v>
      </c>
      <c r="AS132" s="314"/>
      <c r="AT132" s="143"/>
      <c r="AU132" s="143"/>
      <c r="AV132" s="143"/>
      <c r="AW132" s="281" t="s">
        <v>69</v>
      </c>
      <c r="AX132" s="282" t="s">
        <v>70</v>
      </c>
      <c r="AY132" s="283">
        <v>0.15</v>
      </c>
      <c r="AZ132" s="284">
        <v>1093.433884297521</v>
      </c>
      <c r="BA132" s="285">
        <f t="shared" ref="BA132:BA139" si="33">+ROUND(AY132*AZ132,2)</f>
        <v>164.02</v>
      </c>
      <c r="BB132" s="201"/>
      <c r="BD132" s="197" t="s">
        <v>58</v>
      </c>
      <c r="BE132" s="198"/>
      <c r="BF132" s="199"/>
      <c r="BG132" s="199"/>
      <c r="BH132" s="200"/>
      <c r="BI132" s="153"/>
      <c r="BK132" s="135"/>
      <c r="BL132" s="149"/>
      <c r="BM132" s="136"/>
      <c r="BN132" s="136"/>
      <c r="BO132" s="136"/>
      <c r="BP132" s="176"/>
      <c r="BQ132" s="147"/>
      <c r="BR132" s="176"/>
      <c r="BS132" s="176"/>
      <c r="BT132" s="176"/>
      <c r="BU132" s="176"/>
      <c r="BV132" s="176"/>
      <c r="BW132" s="176"/>
      <c r="BX132" s="176"/>
      <c r="BY132" s="176"/>
      <c r="BZ132" s="176"/>
    </row>
    <row r="133" spans="4:78" ht="18" customHeight="1" x14ac:dyDescent="0.2">
      <c r="O133" s="142"/>
      <c r="Q133" s="148"/>
      <c r="R133" s="194"/>
      <c r="S133" s="194"/>
      <c r="T133" s="286"/>
      <c r="U133" s="194"/>
      <c r="X133" s="248"/>
      <c r="Y133" s="249"/>
      <c r="Z133" s="219"/>
      <c r="AA133" s="219"/>
      <c r="AB133" s="215"/>
      <c r="AC133" s="194"/>
      <c r="AE133" s="174"/>
      <c r="AF133" s="305" t="s">
        <v>54</v>
      </c>
      <c r="AG133" s="306" t="s">
        <v>55</v>
      </c>
      <c r="AH133" s="307">
        <v>0.5</v>
      </c>
      <c r="AI133" s="226">
        <v>1600.8</v>
      </c>
      <c r="AJ133" s="215">
        <f>+ROUND(AH133*AI133,2)</f>
        <v>800.4</v>
      </c>
      <c r="AK133" s="314"/>
      <c r="AL133" s="143"/>
      <c r="AM133" s="143"/>
      <c r="AN133" s="320" t="s">
        <v>62</v>
      </c>
      <c r="AO133" s="321"/>
      <c r="AP133" s="322"/>
      <c r="AQ133" s="322"/>
      <c r="AR133" s="251">
        <f>SUM(AR132:AR132)</f>
        <v>23.72</v>
      </c>
      <c r="AS133" s="314"/>
      <c r="AT133" s="143"/>
      <c r="AU133" s="143"/>
      <c r="AV133" s="174"/>
      <c r="AW133" s="224" t="s">
        <v>77</v>
      </c>
      <c r="AX133" s="225" t="s">
        <v>70</v>
      </c>
      <c r="AY133" s="226">
        <v>0.35</v>
      </c>
      <c r="AZ133" s="194">
        <v>903.6194214876034</v>
      </c>
      <c r="BA133" s="215">
        <f t="shared" si="33"/>
        <v>316.27</v>
      </c>
      <c r="BB133" s="201"/>
      <c r="BD133" s="252" t="s">
        <v>59</v>
      </c>
      <c r="BE133" s="213" t="s">
        <v>60</v>
      </c>
      <c r="BF133" s="226">
        <v>5</v>
      </c>
      <c r="BG133" s="226">
        <v>1.9600688000000004</v>
      </c>
      <c r="BH133" s="215">
        <f>+ROUND(BF133*BG133,2)</f>
        <v>9.8000000000000007</v>
      </c>
      <c r="BI133" s="194"/>
      <c r="BK133" s="136"/>
      <c r="BL133" s="149"/>
      <c r="BM133" s="136"/>
      <c r="BN133" s="136"/>
      <c r="BO133" s="136"/>
      <c r="BP133" s="176"/>
      <c r="BQ133" s="147"/>
      <c r="BR133" s="176"/>
      <c r="BS133" s="176"/>
      <c r="BT133" s="176"/>
      <c r="BU133" s="176"/>
      <c r="BV133" s="176"/>
      <c r="BW133" s="176"/>
      <c r="BX133" s="176"/>
      <c r="BY133" s="176"/>
      <c r="BZ133" s="176"/>
    </row>
    <row r="134" spans="4:78" ht="18" customHeight="1" x14ac:dyDescent="0.2">
      <c r="O134" s="142"/>
      <c r="P134" s="202" t="s">
        <v>62</v>
      </c>
      <c r="Q134" s="250"/>
      <c r="R134" s="168"/>
      <c r="S134" s="168"/>
      <c r="T134" s="251">
        <f>SUM(T132:T132)</f>
        <v>294.01</v>
      </c>
      <c r="U134" s="194"/>
      <c r="V134" s="135"/>
      <c r="X134" s="232" t="s">
        <v>57</v>
      </c>
      <c r="Y134" s="233"/>
      <c r="Z134" s="234"/>
      <c r="AA134" s="234"/>
      <c r="AB134" s="235">
        <f>SUM(AB131:AB133)</f>
        <v>2068.85</v>
      </c>
      <c r="AC134" s="138">
        <f>+AB134/AB129</f>
        <v>0.20349858012808847</v>
      </c>
      <c r="AD134" s="149"/>
      <c r="AE134" s="174"/>
      <c r="AF134" s="305" t="s">
        <v>56</v>
      </c>
      <c r="AG134" s="306" t="s">
        <v>55</v>
      </c>
      <c r="AH134" s="307">
        <v>0.5</v>
      </c>
      <c r="AI134" s="226">
        <v>1354.6999999999998</v>
      </c>
      <c r="AJ134" s="215">
        <f>+ROUND(AH134*AI134,2)</f>
        <v>677.35</v>
      </c>
      <c r="AK134" s="314"/>
      <c r="AL134" s="143"/>
      <c r="AM134" s="143"/>
      <c r="AN134" s="323" t="s">
        <v>227</v>
      </c>
      <c r="AO134" s="310"/>
      <c r="AP134" s="324" t="s">
        <v>64</v>
      </c>
      <c r="AQ134" s="325"/>
      <c r="AR134" s="256">
        <f>+AR125+AR130+AR133</f>
        <v>1764.0000000000002</v>
      </c>
      <c r="AS134" s="314"/>
      <c r="AT134" s="174"/>
      <c r="AU134" s="174"/>
      <c r="AV134" s="143"/>
      <c r="AW134" s="224" t="s">
        <v>124</v>
      </c>
      <c r="AX134" s="225" t="s">
        <v>44</v>
      </c>
      <c r="AY134" s="226">
        <v>0.45</v>
      </c>
      <c r="AZ134" s="194">
        <v>417.35</v>
      </c>
      <c r="BA134" s="215">
        <f t="shared" si="33"/>
        <v>187.81</v>
      </c>
      <c r="BB134" s="286"/>
      <c r="BD134" s="202" t="s">
        <v>62</v>
      </c>
      <c r="BE134" s="250"/>
      <c r="BF134" s="168"/>
      <c r="BG134" s="168"/>
      <c r="BH134" s="251">
        <f>SUM(BH133:BH133)</f>
        <v>9.8000000000000007</v>
      </c>
      <c r="BI134" s="194"/>
      <c r="BJ134" s="135"/>
      <c r="BK134" s="136"/>
      <c r="BL134" s="149"/>
      <c r="BM134" s="136"/>
      <c r="BN134" s="136"/>
      <c r="BO134" s="136"/>
      <c r="BP134" s="176"/>
      <c r="BQ134" s="147"/>
      <c r="BR134" s="176"/>
      <c r="BS134" s="176"/>
      <c r="BT134" s="176"/>
      <c r="BU134" s="176"/>
      <c r="BV134" s="176"/>
      <c r="BW134" s="176"/>
      <c r="BX134" s="176"/>
      <c r="BY134" s="176"/>
      <c r="BZ134" s="176"/>
    </row>
    <row r="135" spans="4:78" ht="18" customHeight="1" x14ac:dyDescent="0.2">
      <c r="O135" s="142"/>
      <c r="P135" s="253" t="s">
        <v>63</v>
      </c>
      <c r="Q135" s="233"/>
      <c r="R135" s="254" t="s">
        <v>64</v>
      </c>
      <c r="S135" s="255"/>
      <c r="T135" s="256">
        <f>+T125+T130+T134</f>
        <v>860.5</v>
      </c>
      <c r="U135" s="194"/>
      <c r="V135" s="135"/>
      <c r="X135" s="197" t="s">
        <v>58</v>
      </c>
      <c r="Y135" s="198"/>
      <c r="Z135" s="199"/>
      <c r="AA135" s="199"/>
      <c r="AB135" s="200"/>
      <c r="AC135" s="153"/>
      <c r="AE135" s="174"/>
      <c r="AF135" s="315"/>
      <c r="AG135" s="316"/>
      <c r="AH135" s="308"/>
      <c r="AI135" s="308"/>
      <c r="AJ135" s="317"/>
      <c r="AK135" s="314"/>
      <c r="AL135" s="143"/>
      <c r="AM135" s="143"/>
      <c r="AN135" s="356"/>
      <c r="AO135" s="327"/>
      <c r="AP135" s="328"/>
      <c r="AQ135" s="314"/>
      <c r="AR135" s="329"/>
      <c r="AS135" s="314"/>
      <c r="AT135" s="143"/>
      <c r="AU135" s="143"/>
      <c r="AV135" s="143"/>
      <c r="AW135" s="224" t="s">
        <v>72</v>
      </c>
      <c r="AX135" s="225" t="s">
        <v>20</v>
      </c>
      <c r="AY135" s="226">
        <v>0.05</v>
      </c>
      <c r="AZ135" s="194">
        <v>123.80165289256199</v>
      </c>
      <c r="BA135" s="215">
        <f t="shared" si="33"/>
        <v>6.19</v>
      </c>
      <c r="BB135" s="201"/>
      <c r="BD135" s="253" t="s">
        <v>63</v>
      </c>
      <c r="BE135" s="233"/>
      <c r="BF135" s="254" t="s">
        <v>64</v>
      </c>
      <c r="BG135" s="255"/>
      <c r="BH135" s="256">
        <f>+BH126+BH131+BH134</f>
        <v>12536.749999999998</v>
      </c>
      <c r="BI135" s="194"/>
      <c r="BJ135" s="135"/>
      <c r="BK135" s="136"/>
      <c r="BL135" s="149"/>
      <c r="BM135" s="136"/>
      <c r="BN135" s="136"/>
      <c r="BO135" s="136"/>
      <c r="BP135" s="176"/>
      <c r="BQ135" s="189"/>
      <c r="BR135" s="176"/>
      <c r="BS135" s="176"/>
      <c r="BT135" s="176"/>
      <c r="BU135" s="176"/>
      <c r="BV135" s="176"/>
      <c r="BW135" s="176"/>
      <c r="BX135" s="176"/>
      <c r="BY135" s="176"/>
      <c r="BZ135" s="176"/>
    </row>
    <row r="136" spans="4:78" ht="18" customHeight="1" x14ac:dyDescent="0.2">
      <c r="O136" s="142"/>
      <c r="P136" s="194"/>
      <c r="Q136" s="148"/>
      <c r="R136" s="206"/>
      <c r="S136" s="194"/>
      <c r="T136" s="144"/>
      <c r="U136" s="194"/>
      <c r="V136" s="135"/>
      <c r="X136" s="252" t="s">
        <v>59</v>
      </c>
      <c r="Y136" s="213" t="s">
        <v>60</v>
      </c>
      <c r="Z136" s="226">
        <v>44.5</v>
      </c>
      <c r="AA136" s="226">
        <v>1.9600688000000004</v>
      </c>
      <c r="AB136" s="215">
        <f>+ROUND(Z136*AA136,2)</f>
        <v>87.22</v>
      </c>
      <c r="AC136" s="194"/>
      <c r="AE136" s="174"/>
      <c r="AF136" s="309" t="s">
        <v>57</v>
      </c>
      <c r="AG136" s="310"/>
      <c r="AH136" s="311"/>
      <c r="AI136" s="311"/>
      <c r="AJ136" s="235">
        <f>SUM(AJ133:AJ135)</f>
        <v>1477.75</v>
      </c>
      <c r="AK136" s="412"/>
      <c r="AL136" s="143"/>
      <c r="AM136" s="143"/>
      <c r="AN136" s="155" t="s">
        <v>391</v>
      </c>
      <c r="AO136" s="169"/>
      <c r="AP136" s="172"/>
      <c r="AQ136" s="172"/>
      <c r="AR136" s="173"/>
      <c r="AS136" s="154"/>
      <c r="AT136" s="135"/>
      <c r="AU136" s="174"/>
      <c r="AV136" s="143"/>
      <c r="AW136" s="212" t="s">
        <v>73</v>
      </c>
      <c r="AX136" s="225" t="s">
        <v>20</v>
      </c>
      <c r="AY136" s="226">
        <v>0.2</v>
      </c>
      <c r="AZ136" s="194">
        <v>769.33884297520672</v>
      </c>
      <c r="BA136" s="215">
        <f t="shared" si="33"/>
        <v>153.87</v>
      </c>
      <c r="BB136" s="201"/>
      <c r="BD136" s="152"/>
      <c r="BE136" s="153"/>
      <c r="BF136" s="145"/>
      <c r="BG136" s="145"/>
      <c r="BH136" s="145"/>
      <c r="BI136" s="154"/>
      <c r="BK136" s="136"/>
      <c r="BL136" s="149"/>
      <c r="BM136" s="136"/>
      <c r="BN136" s="136"/>
      <c r="BO136" s="136"/>
      <c r="BP136" s="176"/>
      <c r="BQ136" s="189"/>
      <c r="BR136" s="176"/>
      <c r="BS136" s="176"/>
      <c r="BT136" s="176"/>
      <c r="BU136" s="176"/>
      <c r="BV136" s="176"/>
      <c r="BW136" s="176"/>
      <c r="BX136" s="176"/>
      <c r="BY136" s="176"/>
      <c r="BZ136" s="176"/>
    </row>
    <row r="137" spans="4:78" ht="18" customHeight="1" x14ac:dyDescent="0.2">
      <c r="O137" s="142"/>
      <c r="P137" s="155" t="s">
        <v>344</v>
      </c>
      <c r="Q137" s="169"/>
      <c r="R137" s="172"/>
      <c r="S137" s="172"/>
      <c r="T137" s="173"/>
      <c r="U137" s="154"/>
      <c r="V137" s="135"/>
      <c r="W137" s="143"/>
      <c r="X137" s="202" t="s">
        <v>62</v>
      </c>
      <c r="Y137" s="250"/>
      <c r="Z137" s="168"/>
      <c r="AA137" s="168"/>
      <c r="AB137" s="251">
        <f>SUM(AB136:AB136)</f>
        <v>87.22</v>
      </c>
      <c r="AC137" s="194"/>
      <c r="AD137" s="135"/>
      <c r="AE137" s="174"/>
      <c r="AF137" s="296" t="s">
        <v>58</v>
      </c>
      <c r="AG137" s="297"/>
      <c r="AH137" s="298"/>
      <c r="AI137" s="298"/>
      <c r="AJ137" s="299"/>
      <c r="AK137" s="318"/>
      <c r="AL137" s="143"/>
      <c r="AM137" s="143"/>
      <c r="AN137" s="177" t="s">
        <v>395</v>
      </c>
      <c r="AO137" s="150"/>
      <c r="AP137" s="178"/>
      <c r="AQ137" s="149"/>
      <c r="AR137" s="179" t="str">
        <f>$G$68</f>
        <v>m2</v>
      </c>
      <c r="AS137" s="180">
        <f>$H$68</f>
        <v>90.64</v>
      </c>
      <c r="AT137" s="135"/>
      <c r="AU137" s="174"/>
      <c r="AV137" s="143"/>
      <c r="AW137" s="212" t="s">
        <v>74</v>
      </c>
      <c r="AX137" s="274" t="s">
        <v>28</v>
      </c>
      <c r="AY137" s="275">
        <v>0.1</v>
      </c>
      <c r="AZ137" s="194">
        <v>2188.636363636364</v>
      </c>
      <c r="BA137" s="215">
        <f t="shared" si="33"/>
        <v>218.86</v>
      </c>
      <c r="BB137" s="201"/>
      <c r="BD137" s="155" t="s">
        <v>435</v>
      </c>
      <c r="BE137" s="169"/>
      <c r="BF137" s="172"/>
      <c r="BG137" s="172"/>
      <c r="BH137" s="173"/>
      <c r="BI137" s="154"/>
      <c r="BJ137" s="175"/>
      <c r="BK137" s="136"/>
      <c r="BL137" s="149"/>
      <c r="BM137" s="136"/>
      <c r="BN137" s="136"/>
      <c r="BO137" s="136"/>
      <c r="BP137" s="176"/>
      <c r="BQ137" s="189"/>
      <c r="BR137" s="176"/>
      <c r="BS137" s="176"/>
      <c r="BT137" s="176"/>
      <c r="BU137" s="176"/>
      <c r="BV137" s="176"/>
      <c r="BW137" s="176"/>
      <c r="BX137" s="176"/>
      <c r="BY137" s="176"/>
      <c r="BZ137" s="176"/>
    </row>
    <row r="138" spans="4:78" ht="18" customHeight="1" thickBot="1" x14ac:dyDescent="0.25">
      <c r="O138" s="142"/>
      <c r="P138" s="177" t="s">
        <v>350</v>
      </c>
      <c r="Q138" s="150"/>
      <c r="R138" s="178"/>
      <c r="S138" s="149"/>
      <c r="T138" s="179" t="str">
        <f>$G$21</f>
        <v>m2</v>
      </c>
      <c r="U138" s="180">
        <f>$H$21</f>
        <v>87.446899999999999</v>
      </c>
      <c r="V138" s="163"/>
      <c r="W138" s="143"/>
      <c r="X138" s="253" t="s">
        <v>63</v>
      </c>
      <c r="Y138" s="233"/>
      <c r="Z138" s="254" t="s">
        <v>64</v>
      </c>
      <c r="AA138" s="255"/>
      <c r="AB138" s="256">
        <f>+AB129+AB134+AB137</f>
        <v>12322.48</v>
      </c>
      <c r="AC138" s="194"/>
      <c r="AD138" s="135"/>
      <c r="AE138" s="174"/>
      <c r="AF138" s="319" t="s">
        <v>59</v>
      </c>
      <c r="AG138" s="302" t="s">
        <v>60</v>
      </c>
      <c r="AH138" s="307">
        <v>31</v>
      </c>
      <c r="AI138" s="226">
        <v>1.9600688000000004</v>
      </c>
      <c r="AJ138" s="215">
        <f>+ROUND(AH138*AI138,2)</f>
        <v>60.76</v>
      </c>
      <c r="AK138" s="314"/>
      <c r="AL138" s="143"/>
      <c r="AM138" s="143"/>
      <c r="AN138" s="183"/>
      <c r="AO138" s="184"/>
      <c r="AP138" s="185"/>
      <c r="AQ138" s="185"/>
      <c r="AR138" s="186"/>
      <c r="AT138" s="135"/>
      <c r="AU138" s="174"/>
      <c r="AV138" s="143"/>
      <c r="AW138" s="224" t="s">
        <v>50</v>
      </c>
      <c r="AX138" s="274" t="s">
        <v>28</v>
      </c>
      <c r="AY138" s="275">
        <v>0.03</v>
      </c>
      <c r="AZ138" s="194">
        <v>1047.02</v>
      </c>
      <c r="BA138" s="215">
        <f t="shared" si="33"/>
        <v>31.41</v>
      </c>
      <c r="BB138" s="201"/>
      <c r="BD138" s="177" t="s">
        <v>443</v>
      </c>
      <c r="BE138" s="150"/>
      <c r="BF138" s="178"/>
      <c r="BG138" s="149"/>
      <c r="BH138" s="179" t="str">
        <f>$G$119</f>
        <v>UN</v>
      </c>
      <c r="BI138" s="180">
        <v>1</v>
      </c>
      <c r="BJ138" s="181"/>
      <c r="BK138" s="136"/>
      <c r="BL138" s="149"/>
      <c r="BM138" s="136"/>
      <c r="BN138" s="136"/>
      <c r="BO138" s="136"/>
      <c r="BP138" s="176"/>
      <c r="BQ138" s="189"/>
      <c r="BR138" s="176"/>
      <c r="BS138" s="176"/>
      <c r="BT138" s="176"/>
      <c r="BU138" s="176"/>
      <c r="BV138" s="176"/>
      <c r="BW138" s="176"/>
      <c r="BX138" s="176"/>
      <c r="BY138" s="176"/>
      <c r="BZ138" s="176"/>
    </row>
    <row r="139" spans="4:78" ht="18" customHeight="1" thickTop="1" thickBot="1" x14ac:dyDescent="0.25">
      <c r="O139" s="142"/>
      <c r="P139" s="183"/>
      <c r="Q139" s="184"/>
      <c r="R139" s="185"/>
      <c r="S139" s="185"/>
      <c r="T139" s="186"/>
      <c r="V139" s="145"/>
      <c r="W139" s="143"/>
      <c r="X139" s="152"/>
      <c r="Y139" s="148"/>
      <c r="Z139" s="206"/>
      <c r="AA139" s="194"/>
      <c r="AB139" s="144"/>
      <c r="AC139" s="194"/>
      <c r="AD139" s="135"/>
      <c r="AE139" s="174"/>
      <c r="AF139" s="320" t="s">
        <v>62</v>
      </c>
      <c r="AG139" s="321"/>
      <c r="AH139" s="322"/>
      <c r="AI139" s="322"/>
      <c r="AJ139" s="251">
        <f>SUM(AJ138:AJ138)</f>
        <v>60.76</v>
      </c>
      <c r="AK139" s="314"/>
      <c r="AL139" s="143"/>
      <c r="AM139" s="143"/>
      <c r="AN139" s="191" t="s">
        <v>31</v>
      </c>
      <c r="AO139" s="192" t="s">
        <v>32</v>
      </c>
      <c r="AP139" s="192" t="s">
        <v>33</v>
      </c>
      <c r="AQ139" s="192" t="s">
        <v>1</v>
      </c>
      <c r="AR139" s="192" t="s">
        <v>34</v>
      </c>
      <c r="AS139" s="193" t="s">
        <v>76</v>
      </c>
      <c r="AT139" s="135"/>
      <c r="AU139" s="174"/>
      <c r="AV139" s="143"/>
      <c r="AW139" s="224"/>
      <c r="AX139" s="290"/>
      <c r="AY139" s="275"/>
      <c r="AZ139" s="194"/>
      <c r="BA139" s="215">
        <f t="shared" si="33"/>
        <v>0</v>
      </c>
      <c r="BB139" s="201"/>
      <c r="BD139" s="183"/>
      <c r="BE139" s="184"/>
      <c r="BF139" s="185"/>
      <c r="BG139" s="185"/>
      <c r="BH139" s="186"/>
      <c r="BJ139" s="181"/>
      <c r="BK139" s="136"/>
      <c r="BL139" s="149"/>
      <c r="BM139" s="136"/>
      <c r="BN139" s="136"/>
      <c r="BO139" s="136"/>
      <c r="BP139" s="176"/>
      <c r="BQ139" s="189"/>
      <c r="BR139" s="176"/>
      <c r="BS139" s="176"/>
      <c r="BT139" s="176"/>
      <c r="BU139" s="176"/>
      <c r="BV139" s="176"/>
      <c r="BW139" s="176"/>
      <c r="BX139" s="176"/>
      <c r="BY139" s="176"/>
      <c r="BZ139" s="176"/>
    </row>
    <row r="140" spans="4:78" ht="18" customHeight="1" thickTop="1" x14ac:dyDescent="0.2">
      <c r="O140" s="142"/>
      <c r="P140" s="191" t="s">
        <v>31</v>
      </c>
      <c r="Q140" s="192" t="s">
        <v>32</v>
      </c>
      <c r="R140" s="192" t="s">
        <v>33</v>
      </c>
      <c r="S140" s="192" t="s">
        <v>1</v>
      </c>
      <c r="T140" s="192" t="s">
        <v>34</v>
      </c>
      <c r="U140" s="193" t="s">
        <v>76</v>
      </c>
      <c r="V140" s="153"/>
      <c r="W140" s="143"/>
      <c r="X140" s="155" t="s">
        <v>354</v>
      </c>
      <c r="Y140" s="169"/>
      <c r="Z140" s="172"/>
      <c r="AA140" s="172"/>
      <c r="AB140" s="173"/>
      <c r="AC140" s="154"/>
      <c r="AD140" s="135"/>
      <c r="AE140" s="174"/>
      <c r="AF140" s="323" t="s">
        <v>227</v>
      </c>
      <c r="AG140" s="310"/>
      <c r="AH140" s="324" t="s">
        <v>64</v>
      </c>
      <c r="AI140" s="325"/>
      <c r="AJ140" s="256">
        <f>+AJ131+AJ136+AJ139</f>
        <v>3730.8900000000003</v>
      </c>
      <c r="AK140" s="314"/>
      <c r="AL140" s="174"/>
      <c r="AM140" s="174"/>
      <c r="AN140" s="197" t="s">
        <v>37</v>
      </c>
      <c r="AO140" s="198"/>
      <c r="AP140" s="199"/>
      <c r="AQ140" s="199"/>
      <c r="AR140" s="200"/>
      <c r="AS140" s="201"/>
      <c r="AT140" s="135"/>
      <c r="AU140" s="174"/>
      <c r="AV140" s="143"/>
      <c r="AW140" s="232" t="s">
        <v>51</v>
      </c>
      <c r="AX140" s="233"/>
      <c r="AY140" s="234"/>
      <c r="AZ140" s="234"/>
      <c r="BA140" s="235">
        <f>SUM(BA132:BA139)</f>
        <v>1078.43</v>
      </c>
      <c r="BB140" s="235"/>
      <c r="BD140" s="191" t="s">
        <v>31</v>
      </c>
      <c r="BE140" s="192" t="s">
        <v>32</v>
      </c>
      <c r="BF140" s="192" t="s">
        <v>33</v>
      </c>
      <c r="BG140" s="192" t="s">
        <v>1</v>
      </c>
      <c r="BH140" s="192" t="s">
        <v>34</v>
      </c>
      <c r="BI140" s="193" t="s">
        <v>76</v>
      </c>
      <c r="BJ140" s="194"/>
      <c r="BK140" s="136"/>
      <c r="BL140" s="149"/>
      <c r="BM140" s="136"/>
      <c r="BN140" s="136"/>
      <c r="BO140" s="136"/>
      <c r="BP140" s="176"/>
      <c r="BQ140" s="189"/>
      <c r="BR140" s="176"/>
      <c r="BS140" s="176"/>
      <c r="BT140" s="176"/>
      <c r="BU140" s="176"/>
      <c r="BV140" s="176"/>
      <c r="BW140" s="176"/>
      <c r="BX140" s="176"/>
      <c r="BY140" s="176"/>
      <c r="BZ140" s="176"/>
    </row>
    <row r="141" spans="4:78" ht="18" customHeight="1" x14ac:dyDescent="0.2">
      <c r="O141" s="142"/>
      <c r="P141" s="197" t="s">
        <v>37</v>
      </c>
      <c r="Q141" s="198"/>
      <c r="R141" s="199"/>
      <c r="S141" s="199"/>
      <c r="T141" s="200"/>
      <c r="U141" s="201"/>
      <c r="V141" s="153"/>
      <c r="W141" s="143"/>
      <c r="X141" s="177" t="s">
        <v>362</v>
      </c>
      <c r="Y141" s="150"/>
      <c r="Z141" s="178"/>
      <c r="AA141" s="149"/>
      <c r="AB141" s="179" t="str">
        <f>$G$36</f>
        <v>ml</v>
      </c>
      <c r="AC141" s="180">
        <f>$H$36</f>
        <v>26.400000000000002</v>
      </c>
      <c r="AD141" s="163"/>
      <c r="AE141" s="174"/>
      <c r="AF141" s="326"/>
      <c r="AG141" s="327"/>
      <c r="AH141" s="328"/>
      <c r="AI141" s="314"/>
      <c r="AJ141" s="329"/>
      <c r="AK141" s="314"/>
      <c r="AL141" s="143"/>
      <c r="AM141" s="143"/>
      <c r="AN141" s="216" t="s">
        <v>395</v>
      </c>
      <c r="AO141" s="213" t="s">
        <v>52</v>
      </c>
      <c r="AP141" s="214">
        <v>1.05</v>
      </c>
      <c r="AQ141" s="214">
        <v>8246.3300000000017</v>
      </c>
      <c r="AR141" s="215">
        <f>+ROUND(AP141*AQ141,2)</f>
        <v>8658.65</v>
      </c>
      <c r="AS141" s="201"/>
      <c r="AT141" s="135"/>
      <c r="AU141" s="174"/>
      <c r="AV141" s="143"/>
      <c r="AW141" s="197" t="s">
        <v>53</v>
      </c>
      <c r="AX141" s="198"/>
      <c r="AY141" s="199"/>
      <c r="AZ141" s="199"/>
      <c r="BA141" s="200"/>
      <c r="BB141" s="135"/>
      <c r="BD141" s="197" t="s">
        <v>37</v>
      </c>
      <c r="BE141" s="198"/>
      <c r="BF141" s="199"/>
      <c r="BG141" s="199"/>
      <c r="BH141" s="200"/>
      <c r="BI141" s="201"/>
      <c r="BJ141" s="194"/>
      <c r="BK141" s="136"/>
      <c r="BL141" s="149"/>
      <c r="BM141" s="136"/>
      <c r="BN141" s="136"/>
      <c r="BO141" s="136"/>
      <c r="BP141" s="176"/>
      <c r="BQ141" s="189"/>
      <c r="BR141" s="176"/>
      <c r="BS141" s="176"/>
      <c r="BT141" s="176"/>
      <c r="BU141" s="176"/>
      <c r="BV141" s="176"/>
      <c r="BW141" s="176"/>
      <c r="BX141" s="176"/>
      <c r="BY141" s="176"/>
      <c r="BZ141" s="176"/>
    </row>
    <row r="142" spans="4:78" ht="18" customHeight="1" thickBot="1" x14ac:dyDescent="0.25">
      <c r="O142" s="142"/>
      <c r="P142" s="216"/>
      <c r="Q142" s="213"/>
      <c r="R142" s="214"/>
      <c r="S142" s="214"/>
      <c r="T142" s="215">
        <f>+ROUND(R142*S142,2)</f>
        <v>0</v>
      </c>
      <c r="U142" s="201"/>
      <c r="V142" s="176"/>
      <c r="W142" s="143"/>
      <c r="X142" s="183"/>
      <c r="Y142" s="184"/>
      <c r="Z142" s="185"/>
      <c r="AA142" s="185"/>
      <c r="AB142" s="186"/>
      <c r="AD142" s="145"/>
      <c r="AE142" s="174"/>
      <c r="AF142" s="155" t="s">
        <v>375</v>
      </c>
      <c r="AG142" s="169"/>
      <c r="AH142" s="172"/>
      <c r="AI142" s="172"/>
      <c r="AJ142" s="173"/>
      <c r="AK142" s="154"/>
      <c r="AL142" s="143"/>
      <c r="AM142" s="143"/>
      <c r="AN142" s="167" t="s">
        <v>120</v>
      </c>
      <c r="AO142" s="213" t="s">
        <v>17</v>
      </c>
      <c r="AP142" s="214">
        <v>0.1</v>
      </c>
      <c r="AQ142" s="214">
        <v>1578.9492631578946</v>
      </c>
      <c r="AR142" s="215">
        <f>+ROUND(AP142*AQ142,2)</f>
        <v>157.88999999999999</v>
      </c>
      <c r="AS142" s="201"/>
      <c r="AT142" s="135"/>
      <c r="AU142" s="174"/>
      <c r="AV142" s="143"/>
      <c r="AW142" s="224" t="s">
        <v>54</v>
      </c>
      <c r="AX142" s="225" t="s">
        <v>55</v>
      </c>
      <c r="AY142" s="194">
        <v>0.4</v>
      </c>
      <c r="AZ142" s="226">
        <v>1600.8</v>
      </c>
      <c r="BA142" s="215">
        <f>+ROUND(AY142*AZ142,2)</f>
        <v>640.32000000000005</v>
      </c>
      <c r="BB142" s="153"/>
      <c r="BD142" s="216" t="s">
        <v>443</v>
      </c>
      <c r="BE142" s="213" t="s">
        <v>35</v>
      </c>
      <c r="BF142" s="214">
        <v>1</v>
      </c>
      <c r="BG142" s="214">
        <v>86572.727272727279</v>
      </c>
      <c r="BH142" s="217">
        <f>ROUND((BG142*BF142),2)</f>
        <v>86572.73</v>
      </c>
      <c r="BI142" s="201"/>
      <c r="BJ142" s="241">
        <f>+BH142*BI138</f>
        <v>86572.73</v>
      </c>
      <c r="BK142" s="136"/>
      <c r="BL142" s="149"/>
      <c r="BM142" s="136"/>
      <c r="BN142" s="136"/>
      <c r="BO142" s="136"/>
      <c r="BP142" s="176"/>
      <c r="BQ142" s="189"/>
      <c r="BR142" s="176"/>
      <c r="BS142" s="176"/>
      <c r="BT142" s="176"/>
      <c r="BU142" s="176"/>
      <c r="BV142" s="176"/>
      <c r="BW142" s="176"/>
      <c r="BX142" s="176"/>
      <c r="BY142" s="176"/>
      <c r="BZ142" s="176"/>
    </row>
    <row r="143" spans="4:78" ht="18" customHeight="1" thickTop="1" x14ac:dyDescent="0.2">
      <c r="O143" s="142"/>
      <c r="P143" s="224" t="s">
        <v>50</v>
      </c>
      <c r="Q143" s="225" t="s">
        <v>28</v>
      </c>
      <c r="R143" s="226">
        <v>0.03</v>
      </c>
      <c r="S143" s="219"/>
      <c r="T143" s="223">
        <f>+ROUND(R143*S143,2)</f>
        <v>0</v>
      </c>
      <c r="U143" s="201"/>
      <c r="V143" s="153"/>
      <c r="W143" s="143"/>
      <c r="X143" s="191" t="s">
        <v>31</v>
      </c>
      <c r="Y143" s="192" t="s">
        <v>32</v>
      </c>
      <c r="Z143" s="192" t="s">
        <v>33</v>
      </c>
      <c r="AA143" s="192" t="s">
        <v>1</v>
      </c>
      <c r="AB143" s="192" t="s">
        <v>34</v>
      </c>
      <c r="AC143" s="193" t="s">
        <v>76</v>
      </c>
      <c r="AD143" s="153"/>
      <c r="AE143" s="174"/>
      <c r="AF143" s="177" t="s">
        <v>378</v>
      </c>
      <c r="AG143" s="150"/>
      <c r="AH143" s="178"/>
      <c r="AI143" s="149"/>
      <c r="AJ143" s="179" t="str">
        <f>$G$50</f>
        <v>m2</v>
      </c>
      <c r="AK143" s="180">
        <f>$H$50</f>
        <v>190.4</v>
      </c>
      <c r="AL143" s="143"/>
      <c r="AM143" s="143"/>
      <c r="AN143" s="224" t="s">
        <v>50</v>
      </c>
      <c r="AO143" s="225" t="s">
        <v>28</v>
      </c>
      <c r="AP143" s="226">
        <v>0.03</v>
      </c>
      <c r="AQ143" s="219">
        <v>8816.5399999999991</v>
      </c>
      <c r="AR143" s="223">
        <f>+ROUND(AP143*AQ143,2)</f>
        <v>264.5</v>
      </c>
      <c r="AS143" s="201"/>
      <c r="AT143" s="135"/>
      <c r="AU143" s="174"/>
      <c r="AV143" s="143"/>
      <c r="AW143" s="224" t="s">
        <v>56</v>
      </c>
      <c r="AX143" s="225" t="s">
        <v>55</v>
      </c>
      <c r="AY143" s="194">
        <v>0.4</v>
      </c>
      <c r="AZ143" s="226">
        <v>1354.6999999999998</v>
      </c>
      <c r="BA143" s="215">
        <f>+ROUND(AY143*AZ143,2)</f>
        <v>541.88</v>
      </c>
      <c r="BB143" s="194"/>
      <c r="BD143" s="224" t="s">
        <v>50</v>
      </c>
      <c r="BE143" s="225" t="s">
        <v>28</v>
      </c>
      <c r="BF143" s="226">
        <v>0.03</v>
      </c>
      <c r="BG143" s="226">
        <v>86572.73</v>
      </c>
      <c r="BH143" s="217">
        <f>ROUND((BG143*BF143),2)</f>
        <v>2597.1799999999998</v>
      </c>
      <c r="BI143" s="201"/>
      <c r="BJ143" s="194"/>
      <c r="BK143" s="136"/>
      <c r="BL143" s="149"/>
      <c r="BM143" s="136"/>
      <c r="BN143" s="136"/>
      <c r="BO143" s="136"/>
      <c r="BP143" s="176"/>
      <c r="BQ143" s="147"/>
      <c r="BR143" s="176"/>
      <c r="BS143" s="176"/>
      <c r="BT143" s="176"/>
      <c r="BU143" s="176"/>
      <c r="BV143" s="176"/>
      <c r="BW143" s="176"/>
      <c r="BX143" s="176"/>
      <c r="BY143" s="176"/>
      <c r="BZ143" s="176"/>
    </row>
    <row r="144" spans="4:78" ht="18" customHeight="1" thickBot="1" x14ac:dyDescent="0.25">
      <c r="P144" s="232" t="s">
        <v>51</v>
      </c>
      <c r="Q144" s="233"/>
      <c r="R144" s="234"/>
      <c r="S144" s="234"/>
      <c r="T144" s="235">
        <f>SUM(T142:T143)</f>
        <v>0</v>
      </c>
      <c r="U144" s="235"/>
      <c r="V144" s="194"/>
      <c r="W144" s="143"/>
      <c r="X144" s="197" t="s">
        <v>37</v>
      </c>
      <c r="Y144" s="198"/>
      <c r="Z144" s="199"/>
      <c r="AA144" s="199"/>
      <c r="AB144" s="200"/>
      <c r="AC144" s="201"/>
      <c r="AD144" s="153"/>
      <c r="AE144" s="174"/>
      <c r="AF144" s="347"/>
      <c r="AG144" s="348"/>
      <c r="AH144" s="349"/>
      <c r="AI144" s="349"/>
      <c r="AJ144" s="350"/>
      <c r="AK144" s="412"/>
      <c r="AL144" s="143"/>
      <c r="AM144" s="143"/>
      <c r="AN144" s="232" t="s">
        <v>51</v>
      </c>
      <c r="AO144" s="233"/>
      <c r="AP144" s="234"/>
      <c r="AQ144" s="234"/>
      <c r="AR144" s="235">
        <f>SUM(AR141:AR143)</f>
        <v>9081.0399999999991</v>
      </c>
      <c r="AS144" s="235"/>
      <c r="AT144" s="135"/>
      <c r="AU144" s="174"/>
      <c r="AV144" s="143"/>
      <c r="AW144" s="224"/>
      <c r="AX144" s="225"/>
      <c r="AY144" s="226"/>
      <c r="AZ144" s="226"/>
      <c r="BA144" s="215"/>
      <c r="BB144" s="194"/>
      <c r="BD144" s="232" t="s">
        <v>51</v>
      </c>
      <c r="BE144" s="233"/>
      <c r="BF144" s="234"/>
      <c r="BG144" s="234"/>
      <c r="BH144" s="235">
        <f>SUM(BH142:BH143)</f>
        <v>89169.909999999989</v>
      </c>
      <c r="BI144" s="235"/>
      <c r="BJ144" s="194"/>
      <c r="BK144" s="136"/>
      <c r="BL144" s="149"/>
      <c r="BM144" s="136"/>
      <c r="BN144" s="136"/>
      <c r="BO144" s="136"/>
      <c r="BP144" s="176"/>
      <c r="BQ144" s="147"/>
      <c r="BR144" s="176"/>
      <c r="BS144" s="176"/>
      <c r="BT144" s="176"/>
      <c r="BU144" s="176"/>
      <c r="BV144" s="176"/>
      <c r="BW144" s="176"/>
      <c r="BX144" s="176"/>
      <c r="BY144" s="176"/>
      <c r="BZ144" s="176"/>
    </row>
    <row r="145" spans="15:78" ht="18" customHeight="1" thickTop="1" x14ac:dyDescent="0.2">
      <c r="P145" s="197" t="s">
        <v>53</v>
      </c>
      <c r="Q145" s="198"/>
      <c r="R145" s="199"/>
      <c r="S145" s="199"/>
      <c r="T145" s="200"/>
      <c r="U145" s="153"/>
      <c r="V145" s="194"/>
      <c r="W145" s="143"/>
      <c r="X145" s="216" t="s">
        <v>362</v>
      </c>
      <c r="Y145" s="213" t="s">
        <v>68</v>
      </c>
      <c r="Z145" s="214">
        <v>1.1000000000000001</v>
      </c>
      <c r="AA145" s="214">
        <v>8711.65</v>
      </c>
      <c r="AB145" s="215">
        <f>+ROUND(Z145*AA145,2)</f>
        <v>9582.82</v>
      </c>
      <c r="AC145" s="201"/>
      <c r="AD145" s="176"/>
      <c r="AE145" s="174"/>
      <c r="AF145" s="293" t="s">
        <v>31</v>
      </c>
      <c r="AG145" s="294" t="s">
        <v>32</v>
      </c>
      <c r="AH145" s="294" t="s">
        <v>33</v>
      </c>
      <c r="AI145" s="294" t="s">
        <v>1</v>
      </c>
      <c r="AJ145" s="294" t="s">
        <v>34</v>
      </c>
      <c r="AK145" s="295" t="s">
        <v>76</v>
      </c>
      <c r="AL145" s="143"/>
      <c r="AM145" s="143"/>
      <c r="AN145" s="197" t="s">
        <v>53</v>
      </c>
      <c r="AO145" s="198"/>
      <c r="AP145" s="199"/>
      <c r="AQ145" s="199"/>
      <c r="AR145" s="200"/>
      <c r="AS145" s="181">
        <f>+AR144*AS137</f>
        <v>823105.46559999988</v>
      </c>
      <c r="AT145" s="135"/>
      <c r="AU145" s="174"/>
      <c r="AV145" s="143"/>
      <c r="AW145" s="232" t="s">
        <v>57</v>
      </c>
      <c r="AX145" s="233"/>
      <c r="AY145" s="234"/>
      <c r="AZ145" s="234"/>
      <c r="BA145" s="235">
        <f>SUM(BA142:BA144)</f>
        <v>1182.2</v>
      </c>
      <c r="BB145" s="241"/>
      <c r="BD145" s="197" t="s">
        <v>53</v>
      </c>
      <c r="BE145" s="198"/>
      <c r="BF145" s="199"/>
      <c r="BG145" s="199"/>
      <c r="BH145" s="200"/>
      <c r="BI145" s="153"/>
      <c r="BJ145" s="194"/>
      <c r="BK145" s="136"/>
      <c r="BL145" s="149"/>
      <c r="BM145" s="136"/>
      <c r="BN145" s="136"/>
      <c r="BO145" s="136"/>
      <c r="BP145" s="176"/>
      <c r="BQ145" s="147"/>
      <c r="BR145" s="176"/>
      <c r="BS145" s="176"/>
      <c r="BT145" s="176"/>
      <c r="BU145" s="176"/>
      <c r="BV145" s="176"/>
      <c r="BW145" s="176"/>
      <c r="BX145" s="176"/>
      <c r="BY145" s="176"/>
      <c r="BZ145" s="176"/>
    </row>
    <row r="146" spans="15:78" ht="18" customHeight="1" x14ac:dyDescent="0.2">
      <c r="P146" s="224" t="s">
        <v>54</v>
      </c>
      <c r="Q146" s="225" t="s">
        <v>55</v>
      </c>
      <c r="R146" s="226">
        <v>0.1</v>
      </c>
      <c r="S146" s="226">
        <v>1600.8</v>
      </c>
      <c r="T146" s="215">
        <f>+ROUND(R146*S146,2)</f>
        <v>160.08000000000001</v>
      </c>
      <c r="U146" s="194"/>
      <c r="V146" s="194"/>
      <c r="W146" s="143"/>
      <c r="X146" s="216" t="s">
        <v>274</v>
      </c>
      <c r="Y146" s="213" t="s">
        <v>28</v>
      </c>
      <c r="Z146" s="214">
        <v>1</v>
      </c>
      <c r="AA146" s="214">
        <v>287.4846</v>
      </c>
      <c r="AB146" s="215">
        <f>+ROUND(Z146*AA146,2)</f>
        <v>287.48</v>
      </c>
      <c r="AC146" s="201"/>
      <c r="AD146" s="176"/>
      <c r="AE146" s="174"/>
      <c r="AF146" s="296" t="s">
        <v>37</v>
      </c>
      <c r="AG146" s="297"/>
      <c r="AH146" s="298"/>
      <c r="AI146" s="298"/>
      <c r="AJ146" s="299"/>
      <c r="AK146" s="300"/>
      <c r="AL146" s="143"/>
      <c r="AM146" s="143"/>
      <c r="AN146" s="224" t="s">
        <v>54</v>
      </c>
      <c r="AO146" s="225" t="s">
        <v>55</v>
      </c>
      <c r="AP146" s="226">
        <v>1.1000000000000001</v>
      </c>
      <c r="AQ146" s="226">
        <v>1600.8</v>
      </c>
      <c r="AR146" s="215">
        <f>+ROUND(AP146*AQ146,2)</f>
        <v>1760.88</v>
      </c>
      <c r="AS146" s="194"/>
      <c r="AT146" s="135"/>
      <c r="AU146" s="174"/>
      <c r="AV146" s="143"/>
      <c r="AW146" s="197" t="s">
        <v>58</v>
      </c>
      <c r="AX146" s="198"/>
      <c r="AY146" s="199"/>
      <c r="AZ146" s="199"/>
      <c r="BA146" s="200"/>
      <c r="BD146" s="224" t="s">
        <v>54</v>
      </c>
      <c r="BE146" s="225" t="s">
        <v>55</v>
      </c>
      <c r="BF146" s="226">
        <v>2</v>
      </c>
      <c r="BG146" s="226">
        <v>1600.8</v>
      </c>
      <c r="BH146" s="215">
        <f>+ROUND(BF146*BG146,2)</f>
        <v>3201.6</v>
      </c>
      <c r="BI146" s="194"/>
      <c r="BJ146" s="194"/>
      <c r="BK146" s="136"/>
      <c r="BL146" s="149"/>
      <c r="BM146" s="136"/>
      <c r="BN146" s="136"/>
      <c r="BO146" s="136"/>
      <c r="BP146" s="176"/>
      <c r="BQ146" s="147"/>
      <c r="BR146" s="176"/>
      <c r="BS146" s="176"/>
      <c r="BT146" s="176"/>
      <c r="BU146" s="176"/>
      <c r="BV146" s="176"/>
      <c r="BW146" s="176"/>
      <c r="BX146" s="176"/>
      <c r="BY146" s="176"/>
      <c r="BZ146" s="176"/>
    </row>
    <row r="147" spans="15:78" ht="18" customHeight="1" x14ac:dyDescent="0.2">
      <c r="P147" s="224" t="s">
        <v>56</v>
      </c>
      <c r="Q147" s="225" t="s">
        <v>55</v>
      </c>
      <c r="R147" s="226">
        <v>0.3</v>
      </c>
      <c r="S147" s="226">
        <v>1354.6999999999998</v>
      </c>
      <c r="T147" s="215">
        <f>+ROUND(R147*S147,2)</f>
        <v>406.41</v>
      </c>
      <c r="U147" s="194"/>
      <c r="V147" s="194"/>
      <c r="W147" s="143"/>
      <c r="X147" s="224" t="s">
        <v>50</v>
      </c>
      <c r="Y147" s="225" t="s">
        <v>28</v>
      </c>
      <c r="Z147" s="226">
        <v>0.03</v>
      </c>
      <c r="AA147" s="219">
        <v>9870.2999999999993</v>
      </c>
      <c r="AB147" s="223">
        <f>+ROUND(Z147*AA147,2)</f>
        <v>296.11</v>
      </c>
      <c r="AC147" s="201"/>
      <c r="AD147" s="153"/>
      <c r="AE147" s="174"/>
      <c r="AF147" s="301" t="s">
        <v>228</v>
      </c>
      <c r="AG147" s="302" t="s">
        <v>39</v>
      </c>
      <c r="AH147" s="303">
        <v>30</v>
      </c>
      <c r="AI147" s="303">
        <v>41.702893333333336</v>
      </c>
      <c r="AJ147" s="215">
        <f>+ROUND(AH147*AI147,2)</f>
        <v>1251.0899999999999</v>
      </c>
      <c r="AK147" s="300"/>
      <c r="AL147" s="143"/>
      <c r="AM147" s="143"/>
      <c r="AN147" s="224" t="s">
        <v>56</v>
      </c>
      <c r="AO147" s="225" t="s">
        <v>55</v>
      </c>
      <c r="AP147" s="226">
        <v>0.4</v>
      </c>
      <c r="AQ147" s="226">
        <v>1354.6999999999998</v>
      </c>
      <c r="AR147" s="215">
        <f>+ROUND(AP147*AQ147,2)</f>
        <v>541.88</v>
      </c>
      <c r="AS147" s="194"/>
      <c r="AT147" s="135"/>
      <c r="AU147" s="174"/>
      <c r="AV147" s="143"/>
      <c r="AW147" s="252" t="s">
        <v>59</v>
      </c>
      <c r="AX147" s="213" t="s">
        <v>60</v>
      </c>
      <c r="AY147" s="226">
        <v>1.575</v>
      </c>
      <c r="AZ147" s="226">
        <v>1.9600688000000004</v>
      </c>
      <c r="BA147" s="215">
        <f>+ROUND(AY147*AZ147,2)</f>
        <v>3.09</v>
      </c>
      <c r="BB147" s="153"/>
      <c r="BD147" s="224" t="s">
        <v>56</v>
      </c>
      <c r="BE147" s="225" t="s">
        <v>55</v>
      </c>
      <c r="BF147" s="226">
        <v>1</v>
      </c>
      <c r="BG147" s="226">
        <v>1354.6999999999998</v>
      </c>
      <c r="BH147" s="215">
        <f>+ROUND(BF147*BG147,2)</f>
        <v>1354.7</v>
      </c>
      <c r="BI147" s="194"/>
      <c r="BK147" s="136"/>
      <c r="BL147" s="149"/>
      <c r="BM147" s="136"/>
      <c r="BN147" s="136"/>
      <c r="BO147" s="136"/>
      <c r="BP147" s="176"/>
      <c r="BQ147" s="147"/>
      <c r="BR147" s="176"/>
      <c r="BS147" s="176"/>
      <c r="BT147" s="176"/>
      <c r="BU147" s="176"/>
      <c r="BV147" s="176"/>
      <c r="BW147" s="176"/>
      <c r="BX147" s="176"/>
      <c r="BY147" s="176"/>
      <c r="BZ147" s="176"/>
    </row>
    <row r="148" spans="15:78" ht="18" customHeight="1" x14ac:dyDescent="0.2">
      <c r="P148" s="248"/>
      <c r="Q148" s="249"/>
      <c r="R148" s="219"/>
      <c r="S148" s="219"/>
      <c r="T148" s="215"/>
      <c r="U148" s="194"/>
      <c r="W148" s="143"/>
      <c r="X148" s="232" t="s">
        <v>51</v>
      </c>
      <c r="Y148" s="233"/>
      <c r="Z148" s="234"/>
      <c r="AA148" s="234"/>
      <c r="AB148" s="235">
        <f>SUM(AB145:AB147)</f>
        <v>10166.41</v>
      </c>
      <c r="AC148" s="235"/>
      <c r="AD148" s="194"/>
      <c r="AE148" s="174"/>
      <c r="AF148" s="301" t="s">
        <v>226</v>
      </c>
      <c r="AG148" s="302" t="s">
        <v>28</v>
      </c>
      <c r="AH148" s="303">
        <v>1</v>
      </c>
      <c r="AI148" s="303">
        <v>526.73453166666673</v>
      </c>
      <c r="AJ148" s="215">
        <f t="shared" ref="AJ148:AJ149" si="34">+ROUND(AH148*AI148,2)</f>
        <v>526.73</v>
      </c>
      <c r="AK148" s="300"/>
      <c r="AL148" s="143"/>
      <c r="AM148" s="143"/>
      <c r="AN148" s="248"/>
      <c r="AO148" s="249"/>
      <c r="AP148" s="219"/>
      <c r="AQ148" s="219"/>
      <c r="AR148" s="215"/>
      <c r="AS148" s="194"/>
      <c r="AT148" s="135"/>
      <c r="AU148" s="174"/>
      <c r="AV148" s="143"/>
      <c r="AW148" s="202" t="s">
        <v>62</v>
      </c>
      <c r="AX148" s="250"/>
      <c r="AY148" s="168"/>
      <c r="AZ148" s="168"/>
      <c r="BA148" s="251">
        <f>SUM(BA147:BA147)</f>
        <v>3.09</v>
      </c>
      <c r="BB148" s="194"/>
      <c r="BD148" s="248"/>
      <c r="BE148" s="249"/>
      <c r="BF148" s="219"/>
      <c r="BG148" s="219"/>
      <c r="BH148" s="215"/>
      <c r="BI148" s="194"/>
      <c r="BK148" s="136"/>
      <c r="BL148" s="149"/>
      <c r="BM148" s="149"/>
      <c r="BN148" s="136"/>
      <c r="BO148" s="136"/>
      <c r="BP148" s="176"/>
      <c r="BQ148" s="273"/>
      <c r="BR148" s="176"/>
      <c r="BS148" s="176"/>
      <c r="BT148" s="176"/>
      <c r="BU148" s="176"/>
      <c r="BV148" s="176"/>
      <c r="BW148" s="176"/>
      <c r="BX148" s="176"/>
      <c r="BY148" s="176"/>
      <c r="BZ148" s="176"/>
    </row>
    <row r="149" spans="15:78" ht="18" customHeight="1" x14ac:dyDescent="0.2">
      <c r="P149" s="232" t="s">
        <v>57</v>
      </c>
      <c r="Q149" s="233"/>
      <c r="R149" s="234"/>
      <c r="S149" s="234"/>
      <c r="T149" s="235">
        <f>SUM(T146:T148)</f>
        <v>566.49</v>
      </c>
      <c r="V149" s="149"/>
      <c r="W149" s="143"/>
      <c r="X149" s="197" t="s">
        <v>53</v>
      </c>
      <c r="Y149" s="198"/>
      <c r="Z149" s="199"/>
      <c r="AA149" s="199"/>
      <c r="AB149" s="200"/>
      <c r="AC149" s="241"/>
      <c r="AD149" s="194"/>
      <c r="AE149" s="174"/>
      <c r="AF149" s="305" t="s">
        <v>50</v>
      </c>
      <c r="AG149" s="306" t="s">
        <v>28</v>
      </c>
      <c r="AH149" s="307">
        <v>0.03</v>
      </c>
      <c r="AI149" s="308">
        <v>1777.82</v>
      </c>
      <c r="AJ149" s="215">
        <f t="shared" si="34"/>
        <v>53.33</v>
      </c>
      <c r="AK149" s="300"/>
      <c r="AL149" s="143"/>
      <c r="AM149" s="143"/>
      <c r="AN149" s="232" t="s">
        <v>57</v>
      </c>
      <c r="AO149" s="233"/>
      <c r="AP149" s="234"/>
      <c r="AQ149" s="234"/>
      <c r="AR149" s="235">
        <f>SUM(AR146:AR148)</f>
        <v>2302.7600000000002</v>
      </c>
      <c r="AS149" s="181">
        <f>+AR149*AS137</f>
        <v>208722.16640000002</v>
      </c>
      <c r="AT149" s="135"/>
      <c r="AU149" s="174"/>
      <c r="AV149" s="143"/>
      <c r="AW149" s="253" t="s">
        <v>63</v>
      </c>
      <c r="AX149" s="233"/>
      <c r="AY149" s="254" t="s">
        <v>64</v>
      </c>
      <c r="AZ149" s="255"/>
      <c r="BA149" s="256">
        <f>+BA140+BA145+BA148</f>
        <v>2263.7200000000003</v>
      </c>
      <c r="BB149" s="194"/>
      <c r="BD149" s="232" t="s">
        <v>57</v>
      </c>
      <c r="BE149" s="233"/>
      <c r="BF149" s="234"/>
      <c r="BG149" s="234"/>
      <c r="BH149" s="235">
        <f>SUM(BH146:BH148)</f>
        <v>4556.3</v>
      </c>
      <c r="BI149" s="138">
        <f>+BH149/BH144</f>
        <v>5.1096833001177198E-2</v>
      </c>
      <c r="BJ149" s="149"/>
      <c r="BK149" s="136"/>
      <c r="BL149" s="149"/>
      <c r="BM149" s="149"/>
      <c r="BN149" s="136"/>
      <c r="BO149" s="136"/>
      <c r="BP149" s="176"/>
      <c r="BQ149" s="273"/>
      <c r="BR149" s="176"/>
      <c r="BS149" s="176"/>
      <c r="BT149" s="176"/>
      <c r="BU149" s="176"/>
      <c r="BV149" s="176"/>
      <c r="BW149" s="176"/>
      <c r="BX149" s="176"/>
      <c r="BY149" s="176"/>
      <c r="BZ149" s="176"/>
    </row>
    <row r="150" spans="15:78" ht="18" customHeight="1" x14ac:dyDescent="0.2">
      <c r="P150" s="197" t="s">
        <v>58</v>
      </c>
      <c r="Q150" s="198"/>
      <c r="R150" s="199"/>
      <c r="S150" s="199"/>
      <c r="T150" s="200"/>
      <c r="U150" s="153"/>
      <c r="W150" s="143"/>
      <c r="X150" s="224" t="s">
        <v>54</v>
      </c>
      <c r="Y150" s="225" t="s">
        <v>55</v>
      </c>
      <c r="Z150" s="226">
        <v>0.7</v>
      </c>
      <c r="AA150" s="226">
        <v>1600.8</v>
      </c>
      <c r="AB150" s="215">
        <f>+ROUND(Z150*AA150,2)</f>
        <v>1120.56</v>
      </c>
      <c r="AC150" s="194"/>
      <c r="AD150" s="194"/>
      <c r="AE150" s="174"/>
      <c r="AF150" s="309" t="s">
        <v>51</v>
      </c>
      <c r="AG150" s="310"/>
      <c r="AH150" s="311"/>
      <c r="AI150" s="311"/>
      <c r="AJ150" s="312">
        <f>SUM(AJ147:AJ149)</f>
        <v>1831.1499999999999</v>
      </c>
      <c r="AK150" s="312"/>
      <c r="AL150" s="143"/>
      <c r="AM150" s="143"/>
      <c r="AN150" s="197" t="s">
        <v>58</v>
      </c>
      <c r="AO150" s="198"/>
      <c r="AP150" s="199"/>
      <c r="AQ150" s="199"/>
      <c r="AR150" s="200"/>
      <c r="AS150" s="153"/>
      <c r="AT150" s="135"/>
      <c r="AU150" s="174"/>
      <c r="AV150" s="143"/>
      <c r="AW150" s="352"/>
      <c r="AX150" s="250"/>
      <c r="AY150" s="194"/>
      <c r="AZ150" s="194"/>
      <c r="BA150" s="144"/>
      <c r="BB150" s="194"/>
      <c r="BD150" s="197" t="s">
        <v>58</v>
      </c>
      <c r="BE150" s="198"/>
      <c r="BF150" s="199"/>
      <c r="BG150" s="199"/>
      <c r="BH150" s="200"/>
      <c r="BI150" s="153"/>
      <c r="BK150" s="136"/>
      <c r="BL150" s="149"/>
      <c r="BM150" s="149"/>
      <c r="BN150" s="136"/>
      <c r="BO150" s="136"/>
      <c r="BP150" s="176"/>
      <c r="BQ150" s="273"/>
      <c r="BR150" s="176"/>
      <c r="BS150" s="176"/>
      <c r="BT150" s="176"/>
      <c r="BU150" s="176"/>
      <c r="BV150" s="176"/>
      <c r="BW150" s="176"/>
      <c r="BX150" s="176"/>
      <c r="BY150" s="176"/>
      <c r="BZ150" s="176"/>
    </row>
    <row r="151" spans="15:78" ht="18" customHeight="1" x14ac:dyDescent="0.2">
      <c r="P151" s="252" t="s">
        <v>59</v>
      </c>
      <c r="Q151" s="213" t="s">
        <v>60</v>
      </c>
      <c r="R151" s="226">
        <v>70</v>
      </c>
      <c r="S151" s="226">
        <v>1.9600688000000004</v>
      </c>
      <c r="T151" s="215">
        <f>+ROUND(R151*S151,2)</f>
        <v>137.19999999999999</v>
      </c>
      <c r="U151" s="194"/>
      <c r="X151" s="224" t="s">
        <v>56</v>
      </c>
      <c r="Y151" s="225" t="s">
        <v>55</v>
      </c>
      <c r="Z151" s="226">
        <v>0.7</v>
      </c>
      <c r="AA151" s="226">
        <v>1354.6999999999998</v>
      </c>
      <c r="AB151" s="215">
        <f>+ROUND(Z151*AA151,2)</f>
        <v>948.29</v>
      </c>
      <c r="AC151" s="194"/>
      <c r="AD151" s="194"/>
      <c r="AE151" s="174"/>
      <c r="AF151" s="296" t="s">
        <v>53</v>
      </c>
      <c r="AG151" s="297"/>
      <c r="AH151" s="298"/>
      <c r="AI151" s="298"/>
      <c r="AJ151" s="299"/>
      <c r="AK151" s="313"/>
      <c r="AL151" s="143"/>
      <c r="AM151" s="143"/>
      <c r="AN151" s="252" t="s">
        <v>59</v>
      </c>
      <c r="AO151" s="213" t="s">
        <v>60</v>
      </c>
      <c r="AP151" s="226">
        <v>0</v>
      </c>
      <c r="AQ151" s="226">
        <v>1.9600688000000004</v>
      </c>
      <c r="AR151" s="215">
        <f>+ROUND(AP151*AQ151,2)</f>
        <v>0</v>
      </c>
      <c r="AS151" s="194"/>
      <c r="AT151" s="135"/>
      <c r="AU151" s="174"/>
      <c r="AV151" s="143"/>
      <c r="AW151" s="155" t="s">
        <v>430</v>
      </c>
      <c r="AX151" s="169"/>
      <c r="AY151" s="172"/>
      <c r="AZ151" s="172"/>
      <c r="BA151" s="173"/>
      <c r="BB151" s="154"/>
      <c r="BD151" s="252" t="s">
        <v>59</v>
      </c>
      <c r="BE151" s="213" t="s">
        <v>60</v>
      </c>
      <c r="BF151" s="226">
        <v>5</v>
      </c>
      <c r="BG151" s="226">
        <v>1.9600688000000004</v>
      </c>
      <c r="BH151" s="215">
        <f>+ROUND(BF151*BG151,2)</f>
        <v>9.8000000000000007</v>
      </c>
      <c r="BI151" s="194"/>
      <c r="BK151" s="135"/>
      <c r="BL151" s="149"/>
      <c r="BM151" s="149"/>
      <c r="BN151" s="136"/>
      <c r="BO151" s="136"/>
      <c r="BP151" s="176"/>
      <c r="BQ151" s="273"/>
      <c r="BR151" s="176"/>
      <c r="BS151" s="176"/>
      <c r="BT151" s="176"/>
      <c r="BU151" s="176"/>
      <c r="BV151" s="176"/>
      <c r="BW151" s="176"/>
      <c r="BX151" s="176"/>
      <c r="BY151" s="176"/>
      <c r="BZ151" s="176"/>
    </row>
    <row r="152" spans="15:78" ht="18" customHeight="1" x14ac:dyDescent="0.2">
      <c r="Q152" s="148"/>
      <c r="R152" s="194"/>
      <c r="S152" s="194"/>
      <c r="T152" s="286"/>
      <c r="U152" s="194"/>
      <c r="X152" s="248"/>
      <c r="Y152" s="249"/>
      <c r="Z152" s="219"/>
      <c r="AA152" s="219"/>
      <c r="AB152" s="215"/>
      <c r="AC152" s="241"/>
      <c r="AE152" s="174"/>
      <c r="AF152" s="305" t="s">
        <v>54</v>
      </c>
      <c r="AG152" s="306" t="s">
        <v>55</v>
      </c>
      <c r="AH152" s="307">
        <v>0.5</v>
      </c>
      <c r="AI152" s="226">
        <v>1600.8</v>
      </c>
      <c r="AJ152" s="215">
        <f>+ROUND(AH152*AI152,2)</f>
        <v>800.4</v>
      </c>
      <c r="AK152" s="314"/>
      <c r="AL152" s="143"/>
      <c r="AM152" s="143"/>
      <c r="AN152" s="202" t="s">
        <v>62</v>
      </c>
      <c r="AO152" s="250"/>
      <c r="AP152" s="168"/>
      <c r="AQ152" s="168"/>
      <c r="AR152" s="251">
        <f>SUM(AR151:AR151)</f>
        <v>0</v>
      </c>
      <c r="AS152" s="194"/>
      <c r="AT152" s="135"/>
      <c r="AU152" s="174"/>
      <c r="AV152" s="143"/>
      <c r="AW152" s="177" t="s">
        <v>434</v>
      </c>
      <c r="AX152" s="150"/>
      <c r="AY152" s="178"/>
      <c r="AZ152" s="149"/>
      <c r="BA152" s="179" t="str">
        <f>$G$110</f>
        <v>m2</v>
      </c>
      <c r="BB152" s="180">
        <f>$H$110</f>
        <v>162.68</v>
      </c>
      <c r="BD152" s="202" t="s">
        <v>62</v>
      </c>
      <c r="BE152" s="250"/>
      <c r="BF152" s="168"/>
      <c r="BG152" s="168"/>
      <c r="BH152" s="251">
        <f>SUM(BH151:BH151)</f>
        <v>9.8000000000000007</v>
      </c>
      <c r="BI152" s="194"/>
      <c r="BJ152" s="135"/>
      <c r="BK152" s="136"/>
      <c r="BL152" s="149"/>
      <c r="BM152" s="149"/>
      <c r="BN152" s="136"/>
      <c r="BO152" s="136"/>
      <c r="BQ152" s="273"/>
      <c r="BR152" s="176"/>
      <c r="BS152" s="176"/>
      <c r="BT152" s="176"/>
      <c r="BU152" s="176"/>
      <c r="BV152" s="176"/>
      <c r="BW152" s="176"/>
      <c r="BX152" s="176"/>
      <c r="BY152" s="176"/>
      <c r="BZ152" s="176"/>
    </row>
    <row r="153" spans="15:78" ht="18" customHeight="1" thickBot="1" x14ac:dyDescent="0.25">
      <c r="P153" s="202" t="s">
        <v>62</v>
      </c>
      <c r="Q153" s="250"/>
      <c r="R153" s="168"/>
      <c r="S153" s="168"/>
      <c r="T153" s="251">
        <f>SUM(T151:T151)</f>
        <v>137.19999999999999</v>
      </c>
      <c r="U153" s="194"/>
      <c r="V153" s="135"/>
      <c r="X153" s="232" t="s">
        <v>57</v>
      </c>
      <c r="Y153" s="233"/>
      <c r="Z153" s="234"/>
      <c r="AA153" s="234"/>
      <c r="AB153" s="235">
        <f>SUM(AB150:AB152)</f>
        <v>2068.85</v>
      </c>
      <c r="AC153" s="138">
        <f>+AB153/AB148</f>
        <v>0.20349858012808847</v>
      </c>
      <c r="AD153" s="149"/>
      <c r="AE153" s="174"/>
      <c r="AF153" s="305" t="s">
        <v>56</v>
      </c>
      <c r="AG153" s="306" t="s">
        <v>55</v>
      </c>
      <c r="AH153" s="307">
        <v>0.5</v>
      </c>
      <c r="AI153" s="226">
        <v>1354.6999999999998</v>
      </c>
      <c r="AJ153" s="215">
        <f>+ROUND(AH153*AI153,2)</f>
        <v>677.35</v>
      </c>
      <c r="AK153" s="314"/>
      <c r="AL153" s="143"/>
      <c r="AM153" s="143"/>
      <c r="AN153" s="253" t="s">
        <v>63</v>
      </c>
      <c r="AO153" s="233"/>
      <c r="AP153" s="254" t="s">
        <v>64</v>
      </c>
      <c r="AQ153" s="255"/>
      <c r="AR153" s="256">
        <f>+AR144+AR149+AR152</f>
        <v>11383.8</v>
      </c>
      <c r="AS153" s="140"/>
      <c r="AT153" s="135"/>
      <c r="AU153" s="174"/>
      <c r="AV153" s="143"/>
      <c r="AW153" s="187"/>
      <c r="AX153" s="161"/>
      <c r="AY153" s="159"/>
      <c r="AZ153" s="159"/>
      <c r="BA153" s="280"/>
      <c r="BD153" s="253" t="s">
        <v>63</v>
      </c>
      <c r="BE153" s="233"/>
      <c r="BF153" s="254" t="s">
        <v>64</v>
      </c>
      <c r="BG153" s="255"/>
      <c r="BH153" s="256">
        <f>+BH144+BH149+BH152</f>
        <v>93736.01</v>
      </c>
      <c r="BI153" s="194"/>
      <c r="BJ153" s="135"/>
      <c r="BK153" s="136"/>
      <c r="BL153" s="149"/>
      <c r="BM153" s="149"/>
      <c r="BN153" s="136"/>
      <c r="BO153" s="136"/>
      <c r="BQ153" s="147"/>
      <c r="BR153" s="176"/>
      <c r="BS153" s="176"/>
      <c r="BT153" s="176"/>
      <c r="BU153" s="176"/>
      <c r="BV153" s="176"/>
      <c r="BW153" s="176"/>
      <c r="BX153" s="176"/>
      <c r="BY153" s="176"/>
      <c r="BZ153" s="176"/>
    </row>
    <row r="154" spans="15:78" ht="18" customHeight="1" thickTop="1" x14ac:dyDescent="0.2">
      <c r="P154" s="253" t="s">
        <v>63</v>
      </c>
      <c r="Q154" s="233"/>
      <c r="R154" s="254" t="s">
        <v>64</v>
      </c>
      <c r="S154" s="255"/>
      <c r="T154" s="256">
        <f>+T144+T149+T153</f>
        <v>703.69</v>
      </c>
      <c r="U154" s="194"/>
      <c r="V154" s="135"/>
      <c r="X154" s="197" t="s">
        <v>58</v>
      </c>
      <c r="Y154" s="198"/>
      <c r="Z154" s="199"/>
      <c r="AA154" s="199"/>
      <c r="AB154" s="200"/>
      <c r="AC154" s="153"/>
      <c r="AE154" s="174"/>
      <c r="AF154" s="315"/>
      <c r="AG154" s="316"/>
      <c r="AH154" s="308"/>
      <c r="AI154" s="308"/>
      <c r="AJ154" s="317"/>
      <c r="AK154" s="314"/>
      <c r="AL154" s="143"/>
      <c r="AM154" s="143"/>
      <c r="AN154" s="152"/>
      <c r="AO154" s="148"/>
      <c r="AP154" s="206"/>
      <c r="AQ154" s="194"/>
      <c r="AR154" s="144"/>
      <c r="AS154" s="194"/>
      <c r="AT154" s="135"/>
      <c r="AU154" s="174"/>
      <c r="AV154" s="143"/>
      <c r="AW154" s="191" t="s">
        <v>31</v>
      </c>
      <c r="AX154" s="192" t="s">
        <v>32</v>
      </c>
      <c r="AY154" s="192" t="s">
        <v>33</v>
      </c>
      <c r="AZ154" s="192" t="s">
        <v>1</v>
      </c>
      <c r="BA154" s="192" t="s">
        <v>34</v>
      </c>
      <c r="BD154" s="152"/>
      <c r="BE154" s="153"/>
      <c r="BF154" s="145"/>
      <c r="BG154" s="145"/>
      <c r="BH154" s="145"/>
      <c r="BI154" s="154"/>
      <c r="BK154" s="136"/>
      <c r="BL154" s="149"/>
      <c r="BM154" s="149"/>
      <c r="BN154" s="136"/>
      <c r="BO154" s="136"/>
      <c r="BQ154" s="147"/>
      <c r="BR154" s="176"/>
      <c r="BS154" s="176"/>
      <c r="BT154" s="176"/>
      <c r="BU154" s="176"/>
      <c r="BV154" s="176"/>
      <c r="BW154" s="176"/>
      <c r="BX154" s="176"/>
      <c r="BY154" s="176"/>
      <c r="BZ154" s="176"/>
    </row>
    <row r="155" spans="15:78" ht="18" customHeight="1" x14ac:dyDescent="0.2">
      <c r="O155" s="142"/>
      <c r="P155" s="194"/>
      <c r="Q155" s="148"/>
      <c r="R155" s="206"/>
      <c r="S155" s="194"/>
      <c r="T155" s="144"/>
      <c r="U155" s="194"/>
      <c r="V155" s="135"/>
      <c r="X155" s="252" t="s">
        <v>59</v>
      </c>
      <c r="Y155" s="213" t="s">
        <v>60</v>
      </c>
      <c r="Z155" s="226">
        <v>44.5</v>
      </c>
      <c r="AA155" s="226">
        <v>1.9600688000000004</v>
      </c>
      <c r="AB155" s="215">
        <f>+ROUND(Z155*AA155,2)</f>
        <v>87.22</v>
      </c>
      <c r="AC155" s="194"/>
      <c r="AE155" s="174"/>
      <c r="AF155" s="309" t="s">
        <v>57</v>
      </c>
      <c r="AG155" s="310"/>
      <c r="AH155" s="311"/>
      <c r="AI155" s="311"/>
      <c r="AJ155" s="235">
        <f>SUM(AJ152:AJ154)</f>
        <v>1477.75</v>
      </c>
      <c r="AK155" s="412"/>
      <c r="AL155" s="143"/>
      <c r="AM155" s="143"/>
      <c r="AN155" s="155" t="s">
        <v>391</v>
      </c>
      <c r="AO155" s="169"/>
      <c r="AP155" s="172"/>
      <c r="AQ155" s="172"/>
      <c r="AR155" s="173"/>
      <c r="AS155" s="154"/>
      <c r="AT155" s="135"/>
      <c r="AU155" s="174"/>
      <c r="AV155" s="143"/>
      <c r="AW155" s="197" t="s">
        <v>37</v>
      </c>
      <c r="AX155" s="198"/>
      <c r="AY155" s="199"/>
      <c r="AZ155" s="199"/>
      <c r="BA155" s="200"/>
      <c r="BB155" s="193"/>
      <c r="BK155" s="136"/>
      <c r="BL155" s="149"/>
      <c r="BM155" s="149"/>
      <c r="BN155" s="136"/>
      <c r="BO155" s="136"/>
      <c r="BQ155" s="189"/>
      <c r="BR155" s="176"/>
      <c r="BS155" s="176"/>
      <c r="BT155" s="176"/>
      <c r="BU155" s="176"/>
      <c r="BV155" s="176"/>
      <c r="BW155" s="176"/>
      <c r="BX155" s="176"/>
      <c r="BY155" s="176"/>
      <c r="BZ155" s="176"/>
    </row>
    <row r="156" spans="15:78" ht="18" customHeight="1" x14ac:dyDescent="0.2">
      <c r="O156" s="142"/>
      <c r="P156" s="155" t="s">
        <v>344</v>
      </c>
      <c r="Q156" s="169"/>
      <c r="R156" s="172"/>
      <c r="S156" s="172"/>
      <c r="T156" s="173"/>
      <c r="U156" s="154"/>
      <c r="V156" s="135"/>
      <c r="W156" s="143"/>
      <c r="X156" s="202" t="s">
        <v>62</v>
      </c>
      <c r="Y156" s="250"/>
      <c r="Z156" s="168"/>
      <c r="AA156" s="168"/>
      <c r="AB156" s="251">
        <f>SUM(AB155:AB155)</f>
        <v>87.22</v>
      </c>
      <c r="AC156" s="194"/>
      <c r="AD156" s="135"/>
      <c r="AE156" s="174"/>
      <c r="AF156" s="296" t="s">
        <v>58</v>
      </c>
      <c r="AG156" s="297"/>
      <c r="AH156" s="298"/>
      <c r="AI156" s="298"/>
      <c r="AJ156" s="299"/>
      <c r="AK156" s="318"/>
      <c r="AL156" s="143"/>
      <c r="AM156" s="143"/>
      <c r="AN156" s="177" t="s">
        <v>396</v>
      </c>
      <c r="AO156" s="150"/>
      <c r="AP156" s="178"/>
      <c r="AQ156" s="149"/>
      <c r="AR156" s="179" t="str">
        <f>$G$69</f>
        <v>m2</v>
      </c>
      <c r="AS156" s="180">
        <f>$H$69</f>
        <v>198.9</v>
      </c>
      <c r="AT156" s="135"/>
      <c r="AU156" s="174"/>
      <c r="AV156" s="143"/>
      <c r="AW156" s="281" t="s">
        <v>75</v>
      </c>
      <c r="AX156" s="282" t="s">
        <v>70</v>
      </c>
      <c r="AY156" s="283">
        <v>0.2</v>
      </c>
      <c r="AZ156" s="284">
        <v>559.5638200183655</v>
      </c>
      <c r="BA156" s="285">
        <f t="shared" ref="BA156:BA162" si="35">+ROUND(AY156*AZ156,2)</f>
        <v>111.91</v>
      </c>
      <c r="BB156" s="376"/>
      <c r="BK156" s="136"/>
      <c r="BL156" s="149"/>
      <c r="BM156" s="149"/>
      <c r="BN156" s="136"/>
      <c r="BO156" s="136"/>
      <c r="BQ156" s="189"/>
      <c r="BR156" s="176"/>
      <c r="BS156" s="176"/>
      <c r="BT156" s="176"/>
      <c r="BU156" s="176"/>
      <c r="BV156" s="176"/>
      <c r="BW156" s="176"/>
      <c r="BX156" s="176"/>
      <c r="BY156" s="176"/>
      <c r="BZ156" s="176"/>
    </row>
    <row r="157" spans="15:78" ht="18" customHeight="1" thickBot="1" x14ac:dyDescent="0.25">
      <c r="O157" s="142"/>
      <c r="P157" s="177" t="s">
        <v>351</v>
      </c>
      <c r="Q157" s="150"/>
      <c r="R157" s="178"/>
      <c r="S157" s="149"/>
      <c r="T157" s="179" t="str">
        <f>$G$22</f>
        <v>Gl</v>
      </c>
      <c r="U157" s="180">
        <f>$H$22</f>
        <v>1</v>
      </c>
      <c r="V157" s="163"/>
      <c r="W157" s="143"/>
      <c r="X157" s="253" t="s">
        <v>63</v>
      </c>
      <c r="Y157" s="233"/>
      <c r="Z157" s="254" t="s">
        <v>64</v>
      </c>
      <c r="AA157" s="255"/>
      <c r="AB157" s="256">
        <f>+AB148+AB153+AB156</f>
        <v>12322.48</v>
      </c>
      <c r="AC157" s="194"/>
      <c r="AD157" s="135"/>
      <c r="AE157" s="174"/>
      <c r="AF157" s="319" t="s">
        <v>59</v>
      </c>
      <c r="AG157" s="302" t="s">
        <v>60</v>
      </c>
      <c r="AH157" s="307">
        <v>31</v>
      </c>
      <c r="AI157" s="226">
        <v>1.9600688000000004</v>
      </c>
      <c r="AJ157" s="215">
        <f>+ROUND(AH157*AI157,2)</f>
        <v>60.76</v>
      </c>
      <c r="AK157" s="314"/>
      <c r="AL157" s="143"/>
      <c r="AM157" s="143"/>
      <c r="AN157" s="183"/>
      <c r="AO157" s="184"/>
      <c r="AP157" s="185"/>
      <c r="AQ157" s="185"/>
      <c r="AR157" s="186"/>
      <c r="AT157" s="135"/>
      <c r="AU157" s="174"/>
      <c r="AV157" s="143"/>
      <c r="AW157" s="224" t="s">
        <v>335</v>
      </c>
      <c r="AX157" s="274" t="s">
        <v>70</v>
      </c>
      <c r="AY157" s="275">
        <v>0.1</v>
      </c>
      <c r="AZ157" s="194">
        <v>1296.6012396694216</v>
      </c>
      <c r="BA157" s="215">
        <f t="shared" si="35"/>
        <v>129.66</v>
      </c>
      <c r="BB157" s="376"/>
      <c r="BK157" s="136"/>
      <c r="BL157" s="149"/>
      <c r="BM157" s="149"/>
      <c r="BN157" s="136"/>
      <c r="BO157" s="136"/>
      <c r="BQ157" s="189"/>
      <c r="BR157" s="176"/>
      <c r="BS157" s="176"/>
      <c r="BT157" s="176"/>
      <c r="BU157" s="176"/>
      <c r="BV157" s="176"/>
      <c r="BW157" s="176"/>
      <c r="BX157" s="176"/>
      <c r="BY157" s="176"/>
      <c r="BZ157" s="176"/>
    </row>
    <row r="158" spans="15:78" ht="18" customHeight="1" thickTop="1" thickBot="1" x14ac:dyDescent="0.25">
      <c r="O158" s="142"/>
      <c r="P158" s="183"/>
      <c r="Q158" s="184"/>
      <c r="R158" s="185"/>
      <c r="S158" s="185"/>
      <c r="T158" s="186"/>
      <c r="V158" s="145"/>
      <c r="W158" s="143"/>
      <c r="X158" s="152"/>
      <c r="Y158" s="148"/>
      <c r="Z158" s="206"/>
      <c r="AA158" s="194"/>
      <c r="AB158" s="144"/>
      <c r="AC158" s="194"/>
      <c r="AD158" s="135"/>
      <c r="AE158" s="174"/>
      <c r="AF158" s="320" t="s">
        <v>62</v>
      </c>
      <c r="AG158" s="321"/>
      <c r="AH158" s="322"/>
      <c r="AI158" s="322"/>
      <c r="AJ158" s="251">
        <f>SUM(AJ157:AJ157)</f>
        <v>60.76</v>
      </c>
      <c r="AK158" s="314"/>
      <c r="AL158" s="143"/>
      <c r="AM158" s="143"/>
      <c r="AN158" s="191" t="s">
        <v>31</v>
      </c>
      <c r="AO158" s="192" t="s">
        <v>32</v>
      </c>
      <c r="AP158" s="192" t="s">
        <v>33</v>
      </c>
      <c r="AQ158" s="192" t="s">
        <v>1</v>
      </c>
      <c r="AR158" s="192" t="s">
        <v>34</v>
      </c>
      <c r="AS158" s="193" t="s">
        <v>76</v>
      </c>
      <c r="AT158" s="135"/>
      <c r="AU158" s="174"/>
      <c r="AV158" s="143"/>
      <c r="AW158" s="224" t="s">
        <v>336</v>
      </c>
      <c r="AX158" s="225" t="s">
        <v>70</v>
      </c>
      <c r="AY158" s="226">
        <v>0.5</v>
      </c>
      <c r="AZ158" s="194">
        <v>1968.8000000000002</v>
      </c>
      <c r="BA158" s="215">
        <f t="shared" si="35"/>
        <v>984.4</v>
      </c>
      <c r="BB158" s="376"/>
      <c r="BK158" s="136"/>
      <c r="BL158" s="149"/>
      <c r="BM158" s="149"/>
      <c r="BN158" s="136"/>
      <c r="BO158" s="136"/>
      <c r="BQ158" s="189"/>
      <c r="BR158" s="176"/>
      <c r="BS158" s="176"/>
      <c r="BT158" s="176"/>
      <c r="BU158" s="176"/>
      <c r="BV158" s="176"/>
      <c r="BW158" s="176"/>
      <c r="BX158" s="176"/>
      <c r="BY158" s="176"/>
      <c r="BZ158" s="176"/>
    </row>
    <row r="159" spans="15:78" ht="18" customHeight="1" thickTop="1" x14ac:dyDescent="0.2">
      <c r="O159" s="142"/>
      <c r="P159" s="191" t="s">
        <v>31</v>
      </c>
      <c r="Q159" s="192" t="s">
        <v>32</v>
      </c>
      <c r="R159" s="192" t="s">
        <v>33</v>
      </c>
      <c r="S159" s="192" t="s">
        <v>1</v>
      </c>
      <c r="T159" s="192" t="s">
        <v>34</v>
      </c>
      <c r="U159" s="193" t="s">
        <v>76</v>
      </c>
      <c r="V159" s="153"/>
      <c r="W159" s="143"/>
      <c r="X159" s="155" t="s">
        <v>354</v>
      </c>
      <c r="Y159" s="169"/>
      <c r="Z159" s="172"/>
      <c r="AA159" s="172"/>
      <c r="AB159" s="173"/>
      <c r="AC159" s="154"/>
      <c r="AD159" s="135"/>
      <c r="AE159" s="174"/>
      <c r="AF159" s="323" t="s">
        <v>227</v>
      </c>
      <c r="AG159" s="310"/>
      <c r="AH159" s="324" t="s">
        <v>64</v>
      </c>
      <c r="AI159" s="325"/>
      <c r="AJ159" s="256">
        <f>+AJ150+AJ155+AJ158</f>
        <v>3369.66</v>
      </c>
      <c r="AK159" s="314"/>
      <c r="AL159" s="174"/>
      <c r="AM159" s="174"/>
      <c r="AN159" s="197" t="s">
        <v>37</v>
      </c>
      <c r="AO159" s="198"/>
      <c r="AP159" s="199"/>
      <c r="AQ159" s="199"/>
      <c r="AR159" s="200"/>
      <c r="AS159" s="201"/>
      <c r="AT159" s="135"/>
      <c r="AU159" s="174"/>
      <c r="AV159" s="143"/>
      <c r="AW159" s="212" t="s">
        <v>72</v>
      </c>
      <c r="AX159" s="274" t="s">
        <v>20</v>
      </c>
      <c r="AY159" s="275">
        <v>0.1</v>
      </c>
      <c r="AZ159" s="194">
        <v>123.80165289256199</v>
      </c>
      <c r="BA159" s="215">
        <f t="shared" si="35"/>
        <v>12.38</v>
      </c>
      <c r="BB159" s="201"/>
      <c r="BK159" s="136"/>
      <c r="BL159" s="149"/>
      <c r="BM159" s="149"/>
      <c r="BN159" s="136"/>
      <c r="BO159" s="136"/>
      <c r="BQ159" s="189"/>
      <c r="BR159" s="176"/>
      <c r="BS159" s="176"/>
      <c r="BT159" s="176"/>
      <c r="BU159" s="176"/>
      <c r="BV159" s="176"/>
      <c r="BW159" s="176"/>
      <c r="BX159" s="176"/>
      <c r="BY159" s="176"/>
      <c r="BZ159" s="176"/>
    </row>
    <row r="160" spans="15:78" ht="18" customHeight="1" x14ac:dyDescent="0.2">
      <c r="O160" s="142"/>
      <c r="P160" s="197" t="s">
        <v>37</v>
      </c>
      <c r="Q160" s="198"/>
      <c r="R160" s="199"/>
      <c r="S160" s="199"/>
      <c r="T160" s="200"/>
      <c r="U160" s="201"/>
      <c r="V160" s="153"/>
      <c r="W160" s="143"/>
      <c r="X160" s="177" t="s">
        <v>363</v>
      </c>
      <c r="Y160" s="150"/>
      <c r="Z160" s="178"/>
      <c r="AA160" s="149"/>
      <c r="AB160" s="179" t="str">
        <f>$G$35</f>
        <v>ml</v>
      </c>
      <c r="AC160" s="180">
        <f>$H$35</f>
        <v>13.200000000000001</v>
      </c>
      <c r="AD160" s="163"/>
      <c r="AE160" s="174"/>
      <c r="AF160" s="356"/>
      <c r="AG160" s="327"/>
      <c r="AH160" s="328"/>
      <c r="AI160" s="314"/>
      <c r="AJ160" s="329"/>
      <c r="AK160" s="314"/>
      <c r="AL160" s="143"/>
      <c r="AM160" s="143"/>
      <c r="AN160" s="216" t="s">
        <v>246</v>
      </c>
      <c r="AO160" s="213" t="s">
        <v>52</v>
      </c>
      <c r="AP160" s="214">
        <v>1.05</v>
      </c>
      <c r="AQ160" s="214">
        <v>10658.357111787735</v>
      </c>
      <c r="AR160" s="215">
        <f>+ROUND(AP160*AQ160,2)</f>
        <v>11191.27</v>
      </c>
      <c r="AS160" s="201"/>
      <c r="AT160" s="135"/>
      <c r="AU160" s="174"/>
      <c r="AV160" s="143"/>
      <c r="AW160" s="224" t="s">
        <v>74</v>
      </c>
      <c r="AX160" s="274" t="s">
        <v>28</v>
      </c>
      <c r="AY160" s="275">
        <v>0.1</v>
      </c>
      <c r="AZ160" s="194">
        <v>2188.636363636364</v>
      </c>
      <c r="BA160" s="215">
        <f t="shared" si="35"/>
        <v>218.86</v>
      </c>
      <c r="BB160" s="201"/>
      <c r="BK160" s="136"/>
      <c r="BL160" s="149"/>
      <c r="BM160" s="149"/>
      <c r="BN160" s="136"/>
      <c r="BO160" s="136"/>
      <c r="BQ160" s="189"/>
      <c r="BR160" s="176"/>
      <c r="BS160" s="176"/>
      <c r="BT160" s="176"/>
      <c r="BU160" s="176"/>
      <c r="BV160" s="176"/>
      <c r="BW160" s="176"/>
      <c r="BX160" s="176"/>
      <c r="BY160" s="176"/>
      <c r="BZ160" s="176"/>
    </row>
    <row r="161" spans="15:78" ht="18" customHeight="1" thickBot="1" x14ac:dyDescent="0.25">
      <c r="O161" s="142"/>
      <c r="P161" s="357" t="s">
        <v>219</v>
      </c>
      <c r="Q161" s="358" t="s">
        <v>49</v>
      </c>
      <c r="R161" s="359">
        <v>10</v>
      </c>
      <c r="S161" s="359">
        <v>5500</v>
      </c>
      <c r="T161" s="360">
        <f>+ROUND(R161*S161,2)</f>
        <v>55000</v>
      </c>
      <c r="U161" s="201"/>
      <c r="V161" s="176"/>
      <c r="W161" s="143"/>
      <c r="X161" s="183"/>
      <c r="Y161" s="184"/>
      <c r="Z161" s="185"/>
      <c r="AA161" s="185"/>
      <c r="AB161" s="186"/>
      <c r="AD161" s="145"/>
      <c r="AE161" s="174"/>
      <c r="AF161" s="155" t="s">
        <v>379</v>
      </c>
      <c r="AG161" s="169"/>
      <c r="AH161" s="172"/>
      <c r="AI161" s="172"/>
      <c r="AJ161" s="173"/>
      <c r="AK161" s="154"/>
      <c r="AL161" s="143"/>
      <c r="AM161" s="143"/>
      <c r="AN161" s="167" t="s">
        <v>280</v>
      </c>
      <c r="AO161" s="213" t="s">
        <v>17</v>
      </c>
      <c r="AP161" s="214">
        <v>0.1</v>
      </c>
      <c r="AQ161" s="214">
        <v>1578.9492631578946</v>
      </c>
      <c r="AR161" s="215">
        <f>+ROUND(AP161*AQ161,2)</f>
        <v>157.88999999999999</v>
      </c>
      <c r="AS161" s="201"/>
      <c r="AT161" s="135"/>
      <c r="AU161" s="174"/>
      <c r="AV161" s="143"/>
      <c r="AW161" s="224" t="s">
        <v>50</v>
      </c>
      <c r="AX161" s="274" t="s">
        <v>28</v>
      </c>
      <c r="AY161" s="275">
        <v>0.03</v>
      </c>
      <c r="AZ161" s="194">
        <v>1457.21</v>
      </c>
      <c r="BA161" s="215">
        <f t="shared" si="35"/>
        <v>43.72</v>
      </c>
      <c r="BB161" s="201"/>
      <c r="BK161" s="136"/>
      <c r="BL161" s="149"/>
      <c r="BM161" s="149"/>
      <c r="BN161" s="136"/>
      <c r="BO161" s="136"/>
      <c r="BQ161" s="189"/>
      <c r="BR161" s="176"/>
      <c r="BS161" s="176"/>
      <c r="BT161" s="176"/>
      <c r="BU161" s="176"/>
      <c r="BV161" s="176"/>
      <c r="BW161" s="176"/>
      <c r="BX161" s="176"/>
      <c r="BY161" s="176"/>
      <c r="BZ161" s="176"/>
    </row>
    <row r="162" spans="15:78" ht="18" customHeight="1" thickTop="1" x14ac:dyDescent="0.2">
      <c r="O162" s="142"/>
      <c r="P162" s="224"/>
      <c r="Q162" s="225"/>
      <c r="R162" s="226"/>
      <c r="S162" s="219"/>
      <c r="T162" s="223">
        <f>+ROUND(R162*S162,2)</f>
        <v>0</v>
      </c>
      <c r="U162" s="201"/>
      <c r="V162" s="153"/>
      <c r="W162" s="143"/>
      <c r="X162" s="191" t="s">
        <v>31</v>
      </c>
      <c r="Y162" s="192" t="s">
        <v>32</v>
      </c>
      <c r="Z162" s="192" t="s">
        <v>33</v>
      </c>
      <c r="AA162" s="192" t="s">
        <v>1</v>
      </c>
      <c r="AB162" s="192" t="s">
        <v>34</v>
      </c>
      <c r="AC162" s="193" t="s">
        <v>76</v>
      </c>
      <c r="AD162" s="153"/>
      <c r="AE162" s="174"/>
      <c r="AF162" s="177" t="s">
        <v>380</v>
      </c>
      <c r="AG162" s="150"/>
      <c r="AH162" s="178"/>
      <c r="AI162" s="149"/>
      <c r="AJ162" s="179" t="str">
        <f>$G$53</f>
        <v>m2</v>
      </c>
      <c r="AK162" s="180">
        <f>$H$53</f>
        <v>1.62</v>
      </c>
      <c r="AL162" s="143"/>
      <c r="AM162" s="143"/>
      <c r="AN162" s="224" t="s">
        <v>50</v>
      </c>
      <c r="AO162" s="225" t="s">
        <v>28</v>
      </c>
      <c r="AP162" s="226">
        <v>0.03</v>
      </c>
      <c r="AQ162" s="219">
        <v>11349.16</v>
      </c>
      <c r="AR162" s="223">
        <f>+ROUND(AP162*AQ162,2)</f>
        <v>340.47</v>
      </c>
      <c r="AS162" s="201"/>
      <c r="AT162" s="135"/>
      <c r="AU162" s="174"/>
      <c r="AV162" s="143"/>
      <c r="AW162" s="224"/>
      <c r="AX162" s="290"/>
      <c r="AY162" s="275"/>
      <c r="AZ162" s="194"/>
      <c r="BA162" s="215">
        <f t="shared" si="35"/>
        <v>0</v>
      </c>
      <c r="BB162" s="201"/>
      <c r="BK162" s="136"/>
      <c r="BL162" s="149"/>
      <c r="BM162" s="149"/>
      <c r="BN162" s="136"/>
      <c r="BO162" s="136"/>
      <c r="BQ162" s="189"/>
      <c r="BR162" s="176"/>
      <c r="BS162" s="176"/>
      <c r="BT162" s="176"/>
      <c r="BU162" s="176"/>
      <c r="BV162" s="176"/>
      <c r="BW162" s="176"/>
      <c r="BX162" s="176"/>
      <c r="BY162" s="176"/>
      <c r="BZ162" s="176"/>
    </row>
    <row r="163" spans="15:78" ht="18" customHeight="1" thickBot="1" x14ac:dyDescent="0.25">
      <c r="O163" s="142"/>
      <c r="P163" s="232" t="s">
        <v>51</v>
      </c>
      <c r="Q163" s="233"/>
      <c r="R163" s="234"/>
      <c r="S163" s="234"/>
      <c r="T163" s="235">
        <f>SUM(T161:T162)</f>
        <v>55000</v>
      </c>
      <c r="U163" s="235"/>
      <c r="V163" s="194"/>
      <c r="W163" s="143"/>
      <c r="X163" s="197" t="s">
        <v>37</v>
      </c>
      <c r="Y163" s="198"/>
      <c r="Z163" s="199"/>
      <c r="AA163" s="199"/>
      <c r="AB163" s="200"/>
      <c r="AC163" s="201"/>
      <c r="AD163" s="153"/>
      <c r="AE163" s="174"/>
      <c r="AF163" s="347"/>
      <c r="AG163" s="348"/>
      <c r="AH163" s="349"/>
      <c r="AI163" s="349"/>
      <c r="AJ163" s="350"/>
      <c r="AK163" s="412"/>
      <c r="AL163" s="143"/>
      <c r="AM163" s="143"/>
      <c r="AN163" s="232" t="s">
        <v>51</v>
      </c>
      <c r="AO163" s="233"/>
      <c r="AP163" s="234"/>
      <c r="AQ163" s="234"/>
      <c r="AR163" s="235">
        <f>SUM(AR160:AR162)</f>
        <v>11689.63</v>
      </c>
      <c r="AS163" s="235"/>
      <c r="AT163" s="135"/>
      <c r="AU163" s="174"/>
      <c r="AV163" s="143"/>
      <c r="AW163" s="232" t="s">
        <v>51</v>
      </c>
      <c r="AX163" s="233"/>
      <c r="AY163" s="234"/>
      <c r="AZ163" s="234"/>
      <c r="BA163" s="235">
        <f>SUM(BA156:BA162)</f>
        <v>1500.93</v>
      </c>
      <c r="BB163" s="235"/>
      <c r="BK163" s="136"/>
      <c r="BL163" s="149"/>
      <c r="BM163" s="149"/>
      <c r="BN163" s="136"/>
      <c r="BO163" s="136"/>
      <c r="BQ163" s="147"/>
      <c r="BR163" s="176"/>
      <c r="BS163" s="176"/>
      <c r="BT163" s="176"/>
      <c r="BU163" s="176"/>
      <c r="BV163" s="176"/>
      <c r="BW163" s="176"/>
      <c r="BX163" s="176"/>
      <c r="BY163" s="176"/>
      <c r="BZ163" s="176"/>
    </row>
    <row r="164" spans="15:78" ht="18" customHeight="1" thickTop="1" x14ac:dyDescent="0.2">
      <c r="O164" s="142"/>
      <c r="P164" s="197" t="s">
        <v>53</v>
      </c>
      <c r="Q164" s="198"/>
      <c r="R164" s="199"/>
      <c r="S164" s="199"/>
      <c r="T164" s="200"/>
      <c r="U164" s="153"/>
      <c r="V164" s="194"/>
      <c r="W164" s="143"/>
      <c r="X164" s="216" t="s">
        <v>363</v>
      </c>
      <c r="Y164" s="213" t="s">
        <v>68</v>
      </c>
      <c r="Z164" s="214">
        <v>1.1000000000000001</v>
      </c>
      <c r="AA164" s="214">
        <v>8711.65</v>
      </c>
      <c r="AB164" s="215">
        <f>+ROUND(Z164*AA164,2)</f>
        <v>9582.82</v>
      </c>
      <c r="AC164" s="201"/>
      <c r="AD164" s="176"/>
      <c r="AE164" s="174"/>
      <c r="AF164" s="293" t="s">
        <v>31</v>
      </c>
      <c r="AG164" s="294" t="s">
        <v>32</v>
      </c>
      <c r="AH164" s="294" t="s">
        <v>33</v>
      </c>
      <c r="AI164" s="294" t="s">
        <v>1</v>
      </c>
      <c r="AJ164" s="294" t="s">
        <v>34</v>
      </c>
      <c r="AK164" s="295" t="s">
        <v>76</v>
      </c>
      <c r="AL164" s="143"/>
      <c r="AM164" s="143"/>
      <c r="AN164" s="197" t="s">
        <v>53</v>
      </c>
      <c r="AO164" s="198"/>
      <c r="AP164" s="199"/>
      <c r="AQ164" s="199"/>
      <c r="AR164" s="200"/>
      <c r="AS164" s="181">
        <f>+AR163*AS156</f>
        <v>2325067.4070000001</v>
      </c>
      <c r="AT164" s="135"/>
      <c r="AU164" s="174"/>
      <c r="AV164" s="143"/>
      <c r="AW164" s="197" t="s">
        <v>53</v>
      </c>
      <c r="AX164" s="198"/>
      <c r="AY164" s="199"/>
      <c r="AZ164" s="199"/>
      <c r="BA164" s="200"/>
      <c r="BK164" s="136"/>
      <c r="BL164" s="194"/>
      <c r="BM164" s="149"/>
      <c r="BN164" s="136"/>
      <c r="BO164" s="136"/>
      <c r="BQ164" s="147"/>
      <c r="BR164" s="176"/>
      <c r="BS164" s="176"/>
      <c r="BT164" s="176"/>
      <c r="BU164" s="176"/>
      <c r="BV164" s="176"/>
      <c r="BW164" s="176"/>
      <c r="BX164" s="176"/>
      <c r="BY164" s="176"/>
      <c r="BZ164" s="176"/>
    </row>
    <row r="165" spans="15:78" ht="18" customHeight="1" x14ac:dyDescent="0.2">
      <c r="O165" s="142"/>
      <c r="P165" s="224" t="s">
        <v>54</v>
      </c>
      <c r="Q165" s="225" t="s">
        <v>55</v>
      </c>
      <c r="R165" s="359">
        <v>8</v>
      </c>
      <c r="S165" s="226">
        <v>1600.8</v>
      </c>
      <c r="T165" s="215">
        <f>+ROUND(R165*S165,2)</f>
        <v>12806.4</v>
      </c>
      <c r="U165" s="194"/>
      <c r="V165" s="194"/>
      <c r="W165" s="143"/>
      <c r="X165" s="216" t="s">
        <v>274</v>
      </c>
      <c r="Y165" s="213" t="s">
        <v>28</v>
      </c>
      <c r="Z165" s="214">
        <v>1</v>
      </c>
      <c r="AA165" s="214">
        <v>287.4846</v>
      </c>
      <c r="AB165" s="215">
        <f>+ROUND(Z165*AA165,2)</f>
        <v>287.48</v>
      </c>
      <c r="AC165" s="201"/>
      <c r="AD165" s="176"/>
      <c r="AE165" s="174"/>
      <c r="AF165" s="296" t="s">
        <v>37</v>
      </c>
      <c r="AG165" s="297"/>
      <c r="AH165" s="298"/>
      <c r="AI165" s="298"/>
      <c r="AJ165" s="299"/>
      <c r="AK165" s="300"/>
      <c r="AL165" s="143"/>
      <c r="AM165" s="143"/>
      <c r="AN165" s="224" t="s">
        <v>54</v>
      </c>
      <c r="AO165" s="225" t="s">
        <v>55</v>
      </c>
      <c r="AP165" s="226">
        <v>1.1000000000000001</v>
      </c>
      <c r="AQ165" s="226">
        <v>1600.8</v>
      </c>
      <c r="AR165" s="215">
        <f>+ROUND(AP165*AQ165,2)</f>
        <v>1760.88</v>
      </c>
      <c r="AS165" s="194"/>
      <c r="AT165" s="135"/>
      <c r="AU165" s="174"/>
      <c r="AV165" s="143"/>
      <c r="AW165" s="224" t="s">
        <v>54</v>
      </c>
      <c r="AX165" s="225" t="s">
        <v>55</v>
      </c>
      <c r="AY165" s="194">
        <v>0.5</v>
      </c>
      <c r="AZ165" s="226">
        <v>1600.8</v>
      </c>
      <c r="BA165" s="215">
        <f>+ROUND(AY165*AZ165,2)</f>
        <v>800.4</v>
      </c>
      <c r="BB165" s="153"/>
      <c r="BK165" s="136"/>
      <c r="BL165" s="194"/>
      <c r="BM165" s="149"/>
      <c r="BN165" s="136"/>
      <c r="BO165" s="136"/>
      <c r="BQ165" s="147"/>
      <c r="BR165" s="176"/>
      <c r="BS165" s="176"/>
      <c r="BT165" s="176"/>
      <c r="BU165" s="176"/>
      <c r="BV165" s="176"/>
      <c r="BW165" s="176"/>
      <c r="BX165" s="176"/>
      <c r="BY165" s="176"/>
      <c r="BZ165" s="176"/>
    </row>
    <row r="166" spans="15:78" ht="18" customHeight="1" x14ac:dyDescent="0.2">
      <c r="O166" s="142"/>
      <c r="P166" s="224" t="s">
        <v>56</v>
      </c>
      <c r="Q166" s="225" t="s">
        <v>55</v>
      </c>
      <c r="R166" s="359">
        <v>16</v>
      </c>
      <c r="S166" s="226">
        <v>1354.6999999999998</v>
      </c>
      <c r="T166" s="215">
        <f>+ROUND(R166*S166,2)</f>
        <v>21675.200000000001</v>
      </c>
      <c r="U166" s="194"/>
      <c r="V166" s="194"/>
      <c r="W166" s="143"/>
      <c r="X166" s="224" t="s">
        <v>50</v>
      </c>
      <c r="Y166" s="225" t="s">
        <v>28</v>
      </c>
      <c r="Z166" s="226">
        <v>0.03</v>
      </c>
      <c r="AA166" s="219">
        <v>9870.2999999999993</v>
      </c>
      <c r="AB166" s="223">
        <f>+ROUND(Z166*AA166,2)</f>
        <v>296.11</v>
      </c>
      <c r="AC166" s="201"/>
      <c r="AD166" s="153"/>
      <c r="AE166" s="174"/>
      <c r="AF166" s="301" t="s">
        <v>229</v>
      </c>
      <c r="AG166" s="302" t="s">
        <v>6</v>
      </c>
      <c r="AH166" s="303">
        <v>1.05</v>
      </c>
      <c r="AI166" s="303">
        <v>7084.81</v>
      </c>
      <c r="AJ166" s="215">
        <f>+ROUND(AH166*AI166,2)</f>
        <v>7439.05</v>
      </c>
      <c r="AK166" s="300"/>
      <c r="AL166" s="143"/>
      <c r="AM166" s="143"/>
      <c r="AN166" s="224" t="s">
        <v>56</v>
      </c>
      <c r="AO166" s="225" t="s">
        <v>55</v>
      </c>
      <c r="AP166" s="226">
        <v>0.4</v>
      </c>
      <c r="AQ166" s="226">
        <v>1354.6999999999998</v>
      </c>
      <c r="AR166" s="215">
        <f>+ROUND(AP166*AQ166,2)</f>
        <v>541.88</v>
      </c>
      <c r="AS166" s="194"/>
      <c r="AT166" s="135"/>
      <c r="AU166" s="174"/>
      <c r="AV166" s="143"/>
      <c r="AW166" s="224" t="s">
        <v>56</v>
      </c>
      <c r="AX166" s="225" t="s">
        <v>55</v>
      </c>
      <c r="AY166" s="194">
        <v>0.4</v>
      </c>
      <c r="AZ166" s="226">
        <v>1354.6999999999998</v>
      </c>
      <c r="BA166" s="215">
        <f>+ROUND(AY166*AZ166,2)</f>
        <v>541.88</v>
      </c>
      <c r="BB166" s="194"/>
      <c r="BK166" s="136"/>
      <c r="BL166" s="194"/>
      <c r="BM166" s="149"/>
      <c r="BN166" s="136"/>
      <c r="BO166" s="136"/>
      <c r="BQ166" s="147"/>
      <c r="BR166" s="176"/>
      <c r="BS166" s="176"/>
      <c r="BT166" s="176"/>
      <c r="BU166" s="176"/>
      <c r="BV166" s="176"/>
      <c r="BW166" s="176"/>
      <c r="BX166" s="176"/>
      <c r="BY166" s="176"/>
      <c r="BZ166" s="176"/>
    </row>
    <row r="167" spans="15:78" ht="18" customHeight="1" x14ac:dyDescent="0.2">
      <c r="O167" s="142"/>
      <c r="P167" s="248"/>
      <c r="Q167" s="249"/>
      <c r="R167" s="219"/>
      <c r="S167" s="219"/>
      <c r="T167" s="215"/>
      <c r="U167" s="194"/>
      <c r="W167" s="143"/>
      <c r="X167" s="232" t="s">
        <v>51</v>
      </c>
      <c r="Y167" s="233"/>
      <c r="Z167" s="234"/>
      <c r="AA167" s="234"/>
      <c r="AB167" s="235">
        <f>SUM(AB164:AB166)</f>
        <v>10166.41</v>
      </c>
      <c r="AC167" s="235"/>
      <c r="AD167" s="194"/>
      <c r="AE167" s="174"/>
      <c r="AF167" s="301" t="s">
        <v>230</v>
      </c>
      <c r="AG167" s="302" t="s">
        <v>39</v>
      </c>
      <c r="AH167" s="303">
        <v>8.8000000000000007</v>
      </c>
      <c r="AI167" s="303">
        <v>170.7</v>
      </c>
      <c r="AJ167" s="215">
        <f t="shared" ref="AJ167:AJ169" si="36">+ROUND(AH167*AI167,2)</f>
        <v>1502.16</v>
      </c>
      <c r="AK167" s="300"/>
      <c r="AL167" s="143"/>
      <c r="AM167" s="143"/>
      <c r="AN167" s="248"/>
      <c r="AO167" s="249"/>
      <c r="AP167" s="219"/>
      <c r="AQ167" s="219"/>
      <c r="AR167" s="215"/>
      <c r="AS167" s="194"/>
      <c r="AT167" s="135"/>
      <c r="AU167" s="174"/>
      <c r="AV167" s="143"/>
      <c r="AW167" s="224"/>
      <c r="AX167" s="225"/>
      <c r="AY167" s="226"/>
      <c r="AZ167" s="226"/>
      <c r="BA167" s="215"/>
      <c r="BC167" s="241"/>
      <c r="BK167" s="136"/>
      <c r="BL167" s="194"/>
      <c r="BM167" s="149"/>
      <c r="BN167" s="136"/>
      <c r="BO167" s="136"/>
      <c r="BQ167" s="147"/>
      <c r="BR167" s="176"/>
      <c r="BS167" s="176"/>
      <c r="BT167" s="176"/>
      <c r="BU167" s="176"/>
      <c r="BV167" s="176"/>
      <c r="BW167" s="176"/>
      <c r="BX167" s="176"/>
      <c r="BY167" s="176"/>
      <c r="BZ167" s="176"/>
    </row>
    <row r="168" spans="15:78" ht="18" customHeight="1" x14ac:dyDescent="0.2">
      <c r="O168" s="142"/>
      <c r="P168" s="232" t="s">
        <v>57</v>
      </c>
      <c r="Q168" s="233"/>
      <c r="R168" s="234"/>
      <c r="S168" s="234"/>
      <c r="T168" s="235">
        <f>SUM(T165:T167)</f>
        <v>34481.599999999999</v>
      </c>
      <c r="V168" s="149"/>
      <c r="W168" s="143"/>
      <c r="X168" s="197" t="s">
        <v>53</v>
      </c>
      <c r="Y168" s="198"/>
      <c r="Z168" s="199"/>
      <c r="AA168" s="199"/>
      <c r="AB168" s="200"/>
      <c r="AC168" s="241"/>
      <c r="AD168" s="194"/>
      <c r="AE168" s="174"/>
      <c r="AF168" s="301" t="s">
        <v>231</v>
      </c>
      <c r="AG168" s="302" t="s">
        <v>39</v>
      </c>
      <c r="AH168" s="303">
        <v>0.6</v>
      </c>
      <c r="AI168" s="303">
        <v>927.5</v>
      </c>
      <c r="AJ168" s="215">
        <f t="shared" si="36"/>
        <v>556.5</v>
      </c>
      <c r="AK168" s="300"/>
      <c r="AL168" s="143"/>
      <c r="AM168" s="143"/>
      <c r="AN168" s="232" t="s">
        <v>57</v>
      </c>
      <c r="AO168" s="233"/>
      <c r="AP168" s="234"/>
      <c r="AQ168" s="234"/>
      <c r="AR168" s="235">
        <f>SUM(AR165:AR167)</f>
        <v>2302.7600000000002</v>
      </c>
      <c r="AS168" s="181">
        <f>+AR168*AS156</f>
        <v>458018.96400000004</v>
      </c>
      <c r="AT168" s="135"/>
      <c r="AU168" s="174"/>
      <c r="AV168" s="143"/>
      <c r="AW168" s="232" t="s">
        <v>57</v>
      </c>
      <c r="AX168" s="233"/>
      <c r="AY168" s="234"/>
      <c r="AZ168" s="234"/>
      <c r="BA168" s="235">
        <f>SUM(BA165:BA167)</f>
        <v>1342.28</v>
      </c>
      <c r="BB168" s="241"/>
      <c r="BC168" s="241"/>
      <c r="BK168" s="136"/>
      <c r="BL168" s="194"/>
      <c r="BM168" s="149"/>
      <c r="BN168" s="136"/>
      <c r="BO168" s="136"/>
      <c r="BQ168" s="273"/>
      <c r="BR168" s="176"/>
      <c r="BS168" s="176"/>
      <c r="BT168" s="176"/>
      <c r="BU168" s="176"/>
      <c r="BV168" s="176"/>
      <c r="BW168" s="176"/>
      <c r="BX168" s="176"/>
      <c r="BY168" s="176"/>
      <c r="BZ168" s="176"/>
    </row>
    <row r="169" spans="15:78" ht="18" customHeight="1" x14ac:dyDescent="0.2">
      <c r="O169" s="142"/>
      <c r="P169" s="197" t="s">
        <v>58</v>
      </c>
      <c r="Q169" s="198"/>
      <c r="R169" s="199"/>
      <c r="S169" s="199"/>
      <c r="T169" s="200"/>
      <c r="U169" s="153"/>
      <c r="W169" s="143"/>
      <c r="X169" s="224" t="s">
        <v>54</v>
      </c>
      <c r="Y169" s="225" t="s">
        <v>55</v>
      </c>
      <c r="Z169" s="226">
        <v>0.5</v>
      </c>
      <c r="AA169" s="226">
        <v>1600.8</v>
      </c>
      <c r="AB169" s="215">
        <f>+ROUND(Z169*AA169,2)</f>
        <v>800.4</v>
      </c>
      <c r="AC169" s="194"/>
      <c r="AD169" s="194"/>
      <c r="AE169" s="174"/>
      <c r="AF169" s="301" t="s">
        <v>232</v>
      </c>
      <c r="AG169" s="302" t="s">
        <v>4</v>
      </c>
      <c r="AH169" s="303">
        <v>0.08</v>
      </c>
      <c r="AI169" s="303">
        <v>1304</v>
      </c>
      <c r="AJ169" s="215">
        <f t="shared" si="36"/>
        <v>104.32</v>
      </c>
      <c r="AK169" s="300"/>
      <c r="AL169" s="143"/>
      <c r="AM169" s="143"/>
      <c r="AN169" s="197" t="s">
        <v>58</v>
      </c>
      <c r="AO169" s="198"/>
      <c r="AP169" s="199"/>
      <c r="AQ169" s="199"/>
      <c r="AR169" s="200"/>
      <c r="AS169" s="153"/>
      <c r="AT169" s="135"/>
      <c r="AU169" s="174"/>
      <c r="AV169" s="143"/>
      <c r="AW169" s="197" t="s">
        <v>58</v>
      </c>
      <c r="AX169" s="198"/>
      <c r="AY169" s="199"/>
      <c r="AZ169" s="199"/>
      <c r="BA169" s="200"/>
      <c r="BB169" s="240"/>
      <c r="BK169" s="136"/>
      <c r="BL169" s="194"/>
      <c r="BM169" s="149"/>
      <c r="BN169" s="136"/>
      <c r="BO169" s="136"/>
      <c r="BQ169" s="273"/>
      <c r="BR169" s="176"/>
      <c r="BS169" s="176"/>
      <c r="BT169" s="176"/>
      <c r="BU169" s="176"/>
      <c r="BV169" s="176"/>
      <c r="BW169" s="176"/>
      <c r="BX169" s="176"/>
      <c r="BY169" s="176"/>
      <c r="BZ169" s="176"/>
    </row>
    <row r="170" spans="15:78" ht="18" customHeight="1" x14ac:dyDescent="0.2">
      <c r="O170" s="142"/>
      <c r="P170" s="252" t="s">
        <v>59</v>
      </c>
      <c r="Q170" s="213" t="s">
        <v>60</v>
      </c>
      <c r="R170" s="226">
        <v>9000</v>
      </c>
      <c r="S170" s="226">
        <v>1.9600688000000004</v>
      </c>
      <c r="T170" s="215">
        <f>+ROUND(R170*S170,2)</f>
        <v>17640.62</v>
      </c>
      <c r="U170" s="194"/>
      <c r="X170" s="224" t="s">
        <v>56</v>
      </c>
      <c r="Y170" s="225" t="s">
        <v>55</v>
      </c>
      <c r="Z170" s="226">
        <v>0.5</v>
      </c>
      <c r="AA170" s="226">
        <v>1354.6999999999998</v>
      </c>
      <c r="AB170" s="215">
        <f>+ROUND(Z170*AA170,2)</f>
        <v>677.35</v>
      </c>
      <c r="AC170" s="194"/>
      <c r="AD170" s="194"/>
      <c r="AE170" s="174"/>
      <c r="AF170" s="305" t="s">
        <v>50</v>
      </c>
      <c r="AG170" s="306" t="s">
        <v>28</v>
      </c>
      <c r="AH170" s="307">
        <v>0.03</v>
      </c>
      <c r="AI170" s="308">
        <v>9602.0300000000007</v>
      </c>
      <c r="AJ170" s="215">
        <f t="shared" ref="AJ170" si="37">+ROUND(AH170*AI170,2)</f>
        <v>288.06</v>
      </c>
      <c r="AK170" s="300"/>
      <c r="AL170" s="143"/>
      <c r="AM170" s="143"/>
      <c r="AN170" s="252" t="s">
        <v>59</v>
      </c>
      <c r="AO170" s="213" t="s">
        <v>60</v>
      </c>
      <c r="AP170" s="226">
        <v>0</v>
      </c>
      <c r="AQ170" s="226">
        <v>1.9600688000000004</v>
      </c>
      <c r="AR170" s="215">
        <f>+ROUND(AP170*AQ170,2)</f>
        <v>0</v>
      </c>
      <c r="AS170" s="194"/>
      <c r="AT170" s="135"/>
      <c r="AU170" s="174"/>
      <c r="AV170" s="143"/>
      <c r="AW170" s="252" t="s">
        <v>59</v>
      </c>
      <c r="AX170" s="213" t="s">
        <v>60</v>
      </c>
      <c r="AY170" s="226">
        <v>0.9</v>
      </c>
      <c r="AZ170" s="226">
        <v>1.9600688000000004</v>
      </c>
      <c r="BA170" s="215">
        <f>+ROUND(AY170*AZ170,2)</f>
        <v>1.76</v>
      </c>
      <c r="BB170" s="165"/>
      <c r="BK170" s="135"/>
      <c r="BL170" s="194"/>
      <c r="BM170" s="149"/>
      <c r="BN170" s="136"/>
      <c r="BO170" s="136"/>
      <c r="BQ170" s="273"/>
      <c r="BR170" s="176"/>
      <c r="BS170" s="176"/>
      <c r="BT170" s="176"/>
      <c r="BU170" s="176"/>
      <c r="BV170" s="176"/>
      <c r="BW170" s="176"/>
      <c r="BX170" s="176"/>
      <c r="BY170" s="176"/>
      <c r="BZ170" s="176"/>
    </row>
    <row r="171" spans="15:78" ht="18" customHeight="1" x14ac:dyDescent="0.2">
      <c r="O171" s="142"/>
      <c r="Q171" s="148"/>
      <c r="R171" s="194"/>
      <c r="S171" s="194"/>
      <c r="T171" s="286"/>
      <c r="U171" s="194"/>
      <c r="X171" s="248"/>
      <c r="Y171" s="249"/>
      <c r="Z171" s="219"/>
      <c r="AA171" s="219"/>
      <c r="AB171" s="215"/>
      <c r="AC171" s="194"/>
      <c r="AE171" s="174"/>
      <c r="AF171" s="309" t="s">
        <v>51</v>
      </c>
      <c r="AG171" s="310"/>
      <c r="AH171" s="311"/>
      <c r="AI171" s="311"/>
      <c r="AJ171" s="312">
        <f>SUM(AJ166:AJ170)</f>
        <v>9890.09</v>
      </c>
      <c r="AK171" s="312"/>
      <c r="AL171" s="143"/>
      <c r="AM171" s="143"/>
      <c r="AN171" s="202" t="s">
        <v>62</v>
      </c>
      <c r="AO171" s="250"/>
      <c r="AP171" s="168"/>
      <c r="AQ171" s="168"/>
      <c r="AR171" s="251">
        <f>SUM(AR170:AR170)</f>
        <v>0</v>
      </c>
      <c r="AS171" s="194"/>
      <c r="AT171" s="135"/>
      <c r="AU171" s="174"/>
      <c r="AV171" s="143"/>
      <c r="AW171" s="202" t="s">
        <v>62</v>
      </c>
      <c r="AX171" s="250"/>
      <c r="AY171" s="168"/>
      <c r="AZ171" s="168"/>
      <c r="BA171" s="251">
        <f>SUM(BA170:BA170)</f>
        <v>1.76</v>
      </c>
      <c r="BB171" s="194"/>
      <c r="BK171" s="136"/>
      <c r="BL171" s="194"/>
      <c r="BM171" s="149"/>
      <c r="BN171" s="136"/>
      <c r="BO171" s="136"/>
      <c r="BQ171" s="273"/>
      <c r="BR171" s="176"/>
      <c r="BS171" s="176"/>
      <c r="BT171" s="176"/>
      <c r="BU171" s="176"/>
      <c r="BV171" s="176"/>
      <c r="BW171" s="176"/>
      <c r="BX171" s="176"/>
      <c r="BY171" s="176"/>
      <c r="BZ171" s="176"/>
    </row>
    <row r="172" spans="15:78" ht="18" customHeight="1" x14ac:dyDescent="0.2">
      <c r="P172" s="202" t="s">
        <v>62</v>
      </c>
      <c r="Q172" s="250"/>
      <c r="R172" s="168"/>
      <c r="S172" s="168"/>
      <c r="T172" s="251">
        <f>SUM(T170:T170)</f>
        <v>17640.62</v>
      </c>
      <c r="U172" s="194"/>
      <c r="V172" s="135"/>
      <c r="X172" s="232" t="s">
        <v>57</v>
      </c>
      <c r="Y172" s="233"/>
      <c r="Z172" s="234"/>
      <c r="AA172" s="234"/>
      <c r="AB172" s="235">
        <f>SUM(AB169:AB171)</f>
        <v>1477.75</v>
      </c>
      <c r="AC172" s="138">
        <f>+AB172/AB167</f>
        <v>0.14535612866292033</v>
      </c>
      <c r="AD172" s="149"/>
      <c r="AE172" s="174"/>
      <c r="AF172" s="296" t="s">
        <v>53</v>
      </c>
      <c r="AG172" s="297"/>
      <c r="AH172" s="298"/>
      <c r="AI172" s="298"/>
      <c r="AJ172" s="299"/>
      <c r="AK172" s="313"/>
      <c r="AL172" s="143"/>
      <c r="AM172" s="143"/>
      <c r="AN172" s="253" t="s">
        <v>63</v>
      </c>
      <c r="AO172" s="233"/>
      <c r="AP172" s="254" t="s">
        <v>64</v>
      </c>
      <c r="AQ172" s="255"/>
      <c r="AR172" s="256">
        <f>+AR163+AR168+AR171</f>
        <v>13992.39</v>
      </c>
      <c r="AS172" s="140"/>
      <c r="AT172" s="135"/>
      <c r="AU172" s="174"/>
      <c r="AV172" s="143"/>
      <c r="AW172" s="253" t="s">
        <v>63</v>
      </c>
      <c r="AX172" s="233"/>
      <c r="AY172" s="254" t="s">
        <v>64</v>
      </c>
      <c r="AZ172" s="255"/>
      <c r="BA172" s="256">
        <f>+BA163+BA168+BA171</f>
        <v>2844.9700000000003</v>
      </c>
      <c r="BB172" s="194"/>
      <c r="BK172" s="136"/>
      <c r="BL172" s="194"/>
      <c r="BM172" s="149"/>
      <c r="BN172" s="136"/>
      <c r="BO172" s="136"/>
      <c r="BQ172" s="273"/>
      <c r="BR172" s="176"/>
      <c r="BS172" s="176"/>
      <c r="BT172" s="176"/>
      <c r="BU172" s="176"/>
      <c r="BV172" s="176"/>
      <c r="BW172" s="176"/>
      <c r="BX172" s="176"/>
      <c r="BY172" s="176"/>
      <c r="BZ172" s="176"/>
    </row>
    <row r="173" spans="15:78" ht="18" customHeight="1" x14ac:dyDescent="0.2">
      <c r="P173" s="253" t="s">
        <v>63</v>
      </c>
      <c r="Q173" s="233"/>
      <c r="R173" s="254" t="s">
        <v>64</v>
      </c>
      <c r="S173" s="255"/>
      <c r="T173" s="256">
        <f>+T163+T168+T172</f>
        <v>107122.22</v>
      </c>
      <c r="U173" s="194"/>
      <c r="V173" s="135"/>
      <c r="X173" s="197" t="s">
        <v>58</v>
      </c>
      <c r="Y173" s="198"/>
      <c r="Z173" s="199"/>
      <c r="AA173" s="199"/>
      <c r="AB173" s="200"/>
      <c r="AC173" s="153"/>
      <c r="AE173" s="174"/>
      <c r="AF173" s="305" t="s">
        <v>54</v>
      </c>
      <c r="AG173" s="306" t="s">
        <v>55</v>
      </c>
      <c r="AH173" s="307">
        <v>1.2</v>
      </c>
      <c r="AI173" s="226">
        <v>1600.8</v>
      </c>
      <c r="AJ173" s="215">
        <f>+ROUND(AH173*AI173,2)</f>
        <v>1920.96</v>
      </c>
      <c r="AK173" s="314"/>
      <c r="AL173" s="143"/>
      <c r="AM173" s="143"/>
      <c r="AN173" s="152"/>
      <c r="AO173" s="148"/>
      <c r="AP173" s="206"/>
      <c r="AQ173" s="194"/>
      <c r="AR173" s="144"/>
      <c r="AS173" s="194"/>
      <c r="AT173" s="135"/>
      <c r="AU173" s="174"/>
      <c r="AV173" s="143"/>
      <c r="AW173" s="152"/>
      <c r="AX173" s="148"/>
      <c r="AY173" s="206"/>
      <c r="AZ173" s="194"/>
      <c r="BA173" s="144"/>
      <c r="BB173" s="194"/>
      <c r="BK173" s="136"/>
      <c r="BL173" s="194"/>
      <c r="BM173" s="149"/>
      <c r="BN173" s="136"/>
      <c r="BO173" s="136"/>
      <c r="BQ173" s="273"/>
      <c r="BR173" s="176"/>
      <c r="BS173" s="176"/>
      <c r="BT173" s="176"/>
      <c r="BU173" s="176"/>
      <c r="BV173" s="176"/>
      <c r="BW173" s="176"/>
      <c r="BX173" s="176"/>
      <c r="BY173" s="176"/>
      <c r="BZ173" s="176"/>
    </row>
    <row r="174" spans="15:78" ht="18" customHeight="1" x14ac:dyDescent="0.2">
      <c r="P174" s="194"/>
      <c r="Q174" s="148"/>
      <c r="R174" s="206"/>
      <c r="S174" s="194"/>
      <c r="T174" s="144"/>
      <c r="U174" s="194"/>
      <c r="V174" s="135"/>
      <c r="X174" s="252" t="s">
        <v>59</v>
      </c>
      <c r="Y174" s="213" t="s">
        <v>60</v>
      </c>
      <c r="Z174" s="226">
        <v>29.1</v>
      </c>
      <c r="AA174" s="226">
        <v>1.9600688000000004</v>
      </c>
      <c r="AB174" s="215">
        <f>+ROUND(Z174*AA174,2)</f>
        <v>57.04</v>
      </c>
      <c r="AC174" s="194"/>
      <c r="AE174" s="174"/>
      <c r="AF174" s="305" t="s">
        <v>56</v>
      </c>
      <c r="AG174" s="306" t="s">
        <v>55</v>
      </c>
      <c r="AH174" s="307">
        <v>1</v>
      </c>
      <c r="AI174" s="226">
        <v>1354.6999999999998</v>
      </c>
      <c r="AJ174" s="215">
        <f>+ROUND(AH174*AI174,2)</f>
        <v>1354.7</v>
      </c>
      <c r="AK174" s="314"/>
      <c r="AL174" s="143"/>
      <c r="AM174" s="143"/>
      <c r="AN174" s="155" t="s">
        <v>391</v>
      </c>
      <c r="AO174" s="169"/>
      <c r="AP174" s="172"/>
      <c r="AQ174" s="172"/>
      <c r="AR174" s="173"/>
      <c r="AS174" s="154"/>
      <c r="AT174" s="135"/>
      <c r="AU174" s="174"/>
      <c r="AV174" s="143"/>
      <c r="BK174" s="136"/>
      <c r="BL174" s="194"/>
      <c r="BM174" s="176"/>
      <c r="BN174" s="176"/>
      <c r="BO174" s="176"/>
      <c r="BQ174" s="147"/>
      <c r="BR174" s="176"/>
      <c r="BS174" s="176"/>
      <c r="BT174" s="176"/>
      <c r="BU174" s="176"/>
      <c r="BV174" s="176"/>
      <c r="BW174" s="176"/>
      <c r="BX174" s="176"/>
      <c r="BY174" s="176"/>
      <c r="BZ174" s="176"/>
    </row>
    <row r="175" spans="15:78" ht="18" customHeight="1" x14ac:dyDescent="0.2">
      <c r="P175" s="155" t="s">
        <v>352</v>
      </c>
      <c r="Q175" s="169"/>
      <c r="R175" s="172"/>
      <c r="S175" s="172"/>
      <c r="T175" s="173"/>
      <c r="U175" s="154"/>
      <c r="V175" s="135"/>
      <c r="W175" s="143"/>
      <c r="X175" s="202" t="s">
        <v>62</v>
      </c>
      <c r="Y175" s="250"/>
      <c r="Z175" s="168"/>
      <c r="AA175" s="168"/>
      <c r="AB175" s="251">
        <f>SUM(AB174:AB174)</f>
        <v>57.04</v>
      </c>
      <c r="AC175" s="194"/>
      <c r="AD175" s="135"/>
      <c r="AE175" s="174"/>
      <c r="AF175" s="315"/>
      <c r="AG175" s="316"/>
      <c r="AH175" s="308"/>
      <c r="AI175" s="308"/>
      <c r="AJ175" s="317"/>
      <c r="AK175" s="314"/>
      <c r="AL175" s="143"/>
      <c r="AM175" s="143"/>
      <c r="AN175" s="177" t="s">
        <v>397</v>
      </c>
      <c r="AO175" s="150"/>
      <c r="AP175" s="178"/>
      <c r="AQ175" s="149"/>
      <c r="AR175" s="179" t="str">
        <f>$G$70</f>
        <v>ml</v>
      </c>
      <c r="AS175" s="180">
        <f>$H$70</f>
        <v>180.8</v>
      </c>
      <c r="AT175" s="135"/>
      <c r="AU175" s="174"/>
      <c r="AV175" s="143"/>
      <c r="BK175" s="136"/>
      <c r="BL175" s="194"/>
      <c r="BM175" s="176"/>
      <c r="BN175" s="176"/>
      <c r="BO175" s="176"/>
      <c r="BQ175" s="147"/>
      <c r="BR175" s="176"/>
      <c r="BS175" s="176"/>
      <c r="BT175" s="176"/>
      <c r="BU175" s="176"/>
      <c r="BV175" s="176"/>
      <c r="BW175" s="176"/>
      <c r="BX175" s="176"/>
      <c r="BY175" s="176"/>
      <c r="BZ175" s="176"/>
    </row>
    <row r="176" spans="15:78" ht="18" customHeight="1" thickBot="1" x14ac:dyDescent="0.25">
      <c r="O176" s="142"/>
      <c r="P176" s="177" t="s">
        <v>353</v>
      </c>
      <c r="Q176" s="150"/>
      <c r="R176" s="178"/>
      <c r="S176" s="149"/>
      <c r="T176" s="179" t="str">
        <f>$G$24</f>
        <v>m3</v>
      </c>
      <c r="U176" s="180">
        <f>$H$24</f>
        <v>8.5214999999999996</v>
      </c>
      <c r="V176" s="163"/>
      <c r="W176" s="143"/>
      <c r="X176" s="253" t="s">
        <v>63</v>
      </c>
      <c r="Y176" s="233"/>
      <c r="Z176" s="254" t="s">
        <v>64</v>
      </c>
      <c r="AA176" s="255"/>
      <c r="AB176" s="256">
        <f>+AB167+AB172+AB175</f>
        <v>11701.2</v>
      </c>
      <c r="AC176" s="194"/>
      <c r="AD176" s="135"/>
      <c r="AE176" s="174"/>
      <c r="AF176" s="309" t="s">
        <v>57</v>
      </c>
      <c r="AG176" s="310"/>
      <c r="AH176" s="311"/>
      <c r="AI176" s="311"/>
      <c r="AJ176" s="235">
        <f>SUM(AJ173:AJ175)</f>
        <v>3275.66</v>
      </c>
      <c r="AK176" s="412"/>
      <c r="AL176" s="143"/>
      <c r="AM176" s="143"/>
      <c r="AN176" s="177"/>
      <c r="AO176" s="184"/>
      <c r="AP176" s="185"/>
      <c r="AQ176" s="185"/>
      <c r="AR176" s="179"/>
      <c r="AS176" s="180"/>
      <c r="AT176" s="135"/>
      <c r="AU176" s="174"/>
      <c r="AV176" s="143"/>
      <c r="BK176" s="136"/>
      <c r="BL176" s="149"/>
      <c r="BM176" s="176"/>
      <c r="BN176" s="176"/>
      <c r="BO176" s="176"/>
      <c r="BQ176" s="189"/>
      <c r="BR176" s="176"/>
      <c r="BS176" s="176"/>
      <c r="BT176" s="176"/>
      <c r="BU176" s="176"/>
      <c r="BV176" s="176"/>
      <c r="BW176" s="176"/>
      <c r="BX176" s="176"/>
      <c r="BY176" s="176"/>
      <c r="BZ176" s="176"/>
    </row>
    <row r="177" spans="15:78" ht="18" customHeight="1" thickTop="1" thickBot="1" x14ac:dyDescent="0.25">
      <c r="O177" s="142"/>
      <c r="P177" s="183"/>
      <c r="Q177" s="184"/>
      <c r="R177" s="185"/>
      <c r="S177" s="185"/>
      <c r="T177" s="186"/>
      <c r="V177" s="145"/>
      <c r="W177" s="143"/>
      <c r="X177" s="152"/>
      <c r="Y177" s="148"/>
      <c r="Z177" s="206"/>
      <c r="AA177" s="194"/>
      <c r="AB177" s="144"/>
      <c r="AC177" s="194"/>
      <c r="AD177" s="135"/>
      <c r="AE177" s="174"/>
      <c r="AF177" s="296" t="s">
        <v>58</v>
      </c>
      <c r="AG177" s="297"/>
      <c r="AH177" s="298"/>
      <c r="AI177" s="298"/>
      <c r="AJ177" s="299"/>
      <c r="AK177" s="318"/>
      <c r="AL177" s="143"/>
      <c r="AM177" s="143"/>
      <c r="AN177" s="191" t="s">
        <v>31</v>
      </c>
      <c r="AO177" s="192" t="s">
        <v>32</v>
      </c>
      <c r="AP177" s="192" t="s">
        <v>33</v>
      </c>
      <c r="AQ177" s="192" t="s">
        <v>1</v>
      </c>
      <c r="AR177" s="192" t="s">
        <v>34</v>
      </c>
      <c r="AS177" s="193" t="s">
        <v>76</v>
      </c>
      <c r="AT177" s="135"/>
      <c r="AU177" s="174"/>
      <c r="AV177" s="143"/>
      <c r="BK177" s="136"/>
      <c r="BL177" s="149"/>
      <c r="BM177" s="176"/>
      <c r="BN177" s="176"/>
      <c r="BO177" s="176"/>
      <c r="BQ177" s="189"/>
      <c r="BR177" s="176"/>
      <c r="BS177" s="176"/>
      <c r="BT177" s="176"/>
      <c r="BU177" s="176"/>
      <c r="BV177" s="176"/>
      <c r="BW177" s="176"/>
      <c r="BX177" s="176"/>
      <c r="BY177" s="176"/>
      <c r="BZ177" s="176"/>
    </row>
    <row r="178" spans="15:78" ht="18" customHeight="1" thickTop="1" x14ac:dyDescent="0.2">
      <c r="O178" s="142"/>
      <c r="P178" s="191" t="s">
        <v>31</v>
      </c>
      <c r="Q178" s="192" t="s">
        <v>32</v>
      </c>
      <c r="R178" s="192" t="s">
        <v>33</v>
      </c>
      <c r="S178" s="192" t="s">
        <v>1</v>
      </c>
      <c r="T178" s="192" t="s">
        <v>34</v>
      </c>
      <c r="U178" s="193" t="s">
        <v>76</v>
      </c>
      <c r="V178" s="153"/>
      <c r="W178" s="143"/>
      <c r="X178" s="155" t="s">
        <v>354</v>
      </c>
      <c r="Y178" s="169"/>
      <c r="Z178" s="172"/>
      <c r="AA178" s="172"/>
      <c r="AB178" s="173"/>
      <c r="AC178" s="154"/>
      <c r="AD178" s="135"/>
      <c r="AE178" s="174"/>
      <c r="AF178" s="319" t="s">
        <v>59</v>
      </c>
      <c r="AG178" s="302" t="s">
        <v>60</v>
      </c>
      <c r="AH178" s="307">
        <v>40.98</v>
      </c>
      <c r="AI178" s="226">
        <v>1.9600688000000004</v>
      </c>
      <c r="AJ178" s="215">
        <f>+ROUND(AH178*AI178,2)</f>
        <v>80.319999999999993</v>
      </c>
      <c r="AK178" s="314"/>
      <c r="AL178" s="143"/>
      <c r="AM178" s="143"/>
      <c r="AN178" s="197" t="s">
        <v>37</v>
      </c>
      <c r="AO178" s="198"/>
      <c r="AP178" s="199"/>
      <c r="AQ178" s="199"/>
      <c r="AR178" s="200"/>
      <c r="AS178" s="201"/>
      <c r="AT178" s="135"/>
      <c r="AU178" s="174"/>
      <c r="AV178" s="143"/>
      <c r="BK178" s="136"/>
      <c r="BL178" s="194"/>
      <c r="BM178" s="176"/>
      <c r="BN178" s="176"/>
      <c r="BO178" s="176"/>
      <c r="BP178" s="176"/>
      <c r="BQ178" s="189"/>
      <c r="BR178" s="176"/>
      <c r="BS178" s="176"/>
      <c r="BT178" s="176"/>
      <c r="BU178" s="176"/>
      <c r="BV178" s="176"/>
      <c r="BW178" s="176"/>
      <c r="BX178" s="176"/>
      <c r="BY178" s="176"/>
      <c r="BZ178" s="176"/>
    </row>
    <row r="179" spans="15:78" ht="18" customHeight="1" x14ac:dyDescent="0.2">
      <c r="O179" s="142"/>
      <c r="P179" s="197" t="s">
        <v>37</v>
      </c>
      <c r="Q179" s="198"/>
      <c r="R179" s="199"/>
      <c r="S179" s="199"/>
      <c r="T179" s="200"/>
      <c r="U179" s="201"/>
      <c r="V179" s="153"/>
      <c r="W179" s="143"/>
      <c r="X179" s="177" t="s">
        <v>364</v>
      </c>
      <c r="Y179" s="150"/>
      <c r="Z179" s="178"/>
      <c r="AA179" s="149"/>
      <c r="AB179" s="179" t="str">
        <f>$G$37</f>
        <v>ml</v>
      </c>
      <c r="AC179" s="180">
        <f>$H$37</f>
        <v>15.98</v>
      </c>
      <c r="AD179" s="163"/>
      <c r="AE179" s="174"/>
      <c r="AF179" s="320" t="s">
        <v>62</v>
      </c>
      <c r="AG179" s="321"/>
      <c r="AH179" s="322"/>
      <c r="AI179" s="322"/>
      <c r="AJ179" s="251">
        <f>SUM(AJ178:AJ178)</f>
        <v>80.319999999999993</v>
      </c>
      <c r="AK179" s="314"/>
      <c r="AL179" s="143"/>
      <c r="AM179" s="143"/>
      <c r="AN179" s="216" t="s">
        <v>220</v>
      </c>
      <c r="AO179" s="213" t="s">
        <v>17</v>
      </c>
      <c r="AP179" s="214">
        <v>1.05</v>
      </c>
      <c r="AQ179" s="214">
        <v>1568.75</v>
      </c>
      <c r="AR179" s="215">
        <f>+ROUND(AP179*AQ179,2)</f>
        <v>1647.19</v>
      </c>
      <c r="AS179" s="201"/>
      <c r="AT179" s="135"/>
      <c r="AU179" s="174"/>
      <c r="AV179" s="143"/>
      <c r="BK179" s="136"/>
      <c r="BL179" s="194"/>
      <c r="BM179" s="176"/>
      <c r="BN179" s="176"/>
      <c r="BO179" s="176"/>
      <c r="BP179" s="176"/>
      <c r="BQ179" s="189"/>
      <c r="BR179" s="176"/>
      <c r="BS179" s="176"/>
      <c r="BT179" s="176"/>
      <c r="BU179" s="176"/>
      <c r="BV179" s="176"/>
      <c r="BW179" s="176"/>
      <c r="BX179" s="176"/>
      <c r="BY179" s="176"/>
      <c r="BZ179" s="176"/>
    </row>
    <row r="180" spans="15:78" ht="18" customHeight="1" thickBot="1" x14ac:dyDescent="0.25">
      <c r="O180" s="142"/>
      <c r="P180" s="216"/>
      <c r="Q180" s="213"/>
      <c r="R180" s="214"/>
      <c r="S180" s="214"/>
      <c r="T180" s="215">
        <f>+ROUND(R180*S180,2)</f>
        <v>0</v>
      </c>
      <c r="U180" s="201"/>
      <c r="V180" s="176"/>
      <c r="W180" s="143"/>
      <c r="X180" s="183"/>
      <c r="Y180" s="184"/>
      <c r="Z180" s="185"/>
      <c r="AA180" s="185"/>
      <c r="AB180" s="186"/>
      <c r="AD180" s="145"/>
      <c r="AE180" s="174"/>
      <c r="AF180" s="323" t="s">
        <v>227</v>
      </c>
      <c r="AG180" s="310"/>
      <c r="AH180" s="324" t="s">
        <v>64</v>
      </c>
      <c r="AI180" s="325"/>
      <c r="AJ180" s="256">
        <f>+AJ171+AJ176+AJ179</f>
        <v>13246.07</v>
      </c>
      <c r="AK180" s="314"/>
      <c r="AL180" s="174"/>
      <c r="AM180" s="174"/>
      <c r="AN180" s="167" t="s">
        <v>245</v>
      </c>
      <c r="AO180" s="213" t="s">
        <v>28</v>
      </c>
      <c r="AP180" s="214">
        <v>0.1</v>
      </c>
      <c r="AQ180" s="214">
        <v>1578.9492631578946</v>
      </c>
      <c r="AR180" s="215">
        <f>+ROUND(AP180*AQ180,2)</f>
        <v>157.88999999999999</v>
      </c>
      <c r="AS180" s="201"/>
      <c r="AT180" s="135"/>
      <c r="AU180" s="174"/>
      <c r="AV180" s="143"/>
      <c r="BK180" s="136"/>
      <c r="BL180" s="194"/>
      <c r="BM180" s="176"/>
      <c r="BN180" s="176"/>
      <c r="BO180" s="176"/>
      <c r="BP180" s="176"/>
      <c r="BQ180" s="189"/>
      <c r="BR180" s="176"/>
      <c r="BS180" s="176"/>
      <c r="BT180" s="176"/>
      <c r="BU180" s="176"/>
      <c r="BV180" s="176"/>
      <c r="BW180" s="176"/>
      <c r="BX180" s="176"/>
      <c r="BY180" s="176"/>
      <c r="BZ180" s="176"/>
    </row>
    <row r="181" spans="15:78" ht="18" customHeight="1" thickTop="1" x14ac:dyDescent="0.2">
      <c r="O181" s="142"/>
      <c r="P181" s="224" t="s">
        <v>50</v>
      </c>
      <c r="Q181" s="225" t="s">
        <v>28</v>
      </c>
      <c r="R181" s="226">
        <v>0.03</v>
      </c>
      <c r="S181" s="219"/>
      <c r="T181" s="223">
        <f>+ROUND(R181*S181,2)</f>
        <v>0</v>
      </c>
      <c r="U181" s="201"/>
      <c r="V181" s="153"/>
      <c r="W181" s="143"/>
      <c r="X181" s="191" t="s">
        <v>31</v>
      </c>
      <c r="Y181" s="192" t="s">
        <v>32</v>
      </c>
      <c r="Z181" s="192" t="s">
        <v>33</v>
      </c>
      <c r="AA181" s="192" t="s">
        <v>1</v>
      </c>
      <c r="AB181" s="192" t="s">
        <v>34</v>
      </c>
      <c r="AC181" s="193" t="s">
        <v>76</v>
      </c>
      <c r="AD181" s="153"/>
      <c r="AE181" s="174"/>
      <c r="AF181" s="356"/>
      <c r="AG181" s="327"/>
      <c r="AH181" s="328"/>
      <c r="AI181" s="314"/>
      <c r="AJ181" s="329"/>
      <c r="AK181" s="314"/>
      <c r="AL181" s="143"/>
      <c r="AM181" s="143"/>
      <c r="AN181" s="224" t="s">
        <v>50</v>
      </c>
      <c r="AO181" s="225" t="s">
        <v>28</v>
      </c>
      <c r="AP181" s="226">
        <v>0.03</v>
      </c>
      <c r="AQ181" s="219">
        <v>1805.08</v>
      </c>
      <c r="AR181" s="223">
        <f>+ROUND(AP181*AQ181,2)</f>
        <v>54.15</v>
      </c>
      <c r="AS181" s="201"/>
      <c r="AT181" s="135"/>
      <c r="AU181" s="174"/>
      <c r="AV181" s="143"/>
      <c r="BK181" s="136"/>
      <c r="BL181" s="194"/>
      <c r="BM181" s="176"/>
      <c r="BN181" s="176"/>
      <c r="BO181" s="176"/>
      <c r="BP181" s="176"/>
      <c r="BQ181" s="189"/>
      <c r="BR181" s="176"/>
      <c r="BS181" s="176"/>
      <c r="BT181" s="176"/>
      <c r="BU181" s="176"/>
      <c r="BV181" s="176"/>
      <c r="BW181" s="176"/>
      <c r="BX181" s="176"/>
      <c r="BY181" s="176"/>
      <c r="BZ181" s="176"/>
    </row>
    <row r="182" spans="15:78" ht="18" customHeight="1" x14ac:dyDescent="0.2">
      <c r="O182" s="142"/>
      <c r="P182" s="232" t="s">
        <v>51</v>
      </c>
      <c r="Q182" s="233"/>
      <c r="R182" s="234"/>
      <c r="S182" s="234"/>
      <c r="T182" s="235">
        <f>SUM(T180:T181)</f>
        <v>0</v>
      </c>
      <c r="U182" s="235"/>
      <c r="V182" s="194"/>
      <c r="W182" s="143"/>
      <c r="X182" s="197" t="s">
        <v>37</v>
      </c>
      <c r="Y182" s="198"/>
      <c r="Z182" s="199"/>
      <c r="AA182" s="199"/>
      <c r="AB182" s="200"/>
      <c r="AC182" s="201"/>
      <c r="AD182" s="153"/>
      <c r="AE182" s="174"/>
      <c r="AF182" s="155" t="s">
        <v>381</v>
      </c>
      <c r="AG182" s="169"/>
      <c r="AH182" s="172"/>
      <c r="AI182" s="172"/>
      <c r="AJ182" s="173"/>
      <c r="AK182" s="154"/>
      <c r="AL182" s="143"/>
      <c r="AM182" s="143"/>
      <c r="AN182" s="232" t="s">
        <v>51</v>
      </c>
      <c r="AO182" s="233"/>
      <c r="AP182" s="234"/>
      <c r="AQ182" s="234"/>
      <c r="AR182" s="235">
        <f>SUM(AR179:AR181)</f>
        <v>1859.23</v>
      </c>
      <c r="AS182" s="235"/>
      <c r="AT182" s="135"/>
      <c r="AU182" s="174"/>
      <c r="AV182" s="143"/>
      <c r="BK182" s="136"/>
      <c r="BL182" s="194"/>
      <c r="BM182" s="176"/>
      <c r="BN182" s="176"/>
      <c r="BO182" s="176"/>
      <c r="BP182" s="176"/>
      <c r="BQ182" s="189"/>
      <c r="BR182" s="176"/>
      <c r="BS182" s="176"/>
      <c r="BT182" s="176"/>
      <c r="BU182" s="176"/>
      <c r="BV182" s="176"/>
      <c r="BW182" s="176"/>
      <c r="BX182" s="176"/>
      <c r="BY182" s="176"/>
      <c r="BZ182" s="176"/>
    </row>
    <row r="183" spans="15:78" ht="18" customHeight="1" x14ac:dyDescent="0.2">
      <c r="O183" s="142"/>
      <c r="P183" s="197" t="s">
        <v>53</v>
      </c>
      <c r="Q183" s="198"/>
      <c r="R183" s="199"/>
      <c r="S183" s="199"/>
      <c r="T183" s="200"/>
      <c r="U183" s="153"/>
      <c r="V183" s="194"/>
      <c r="W183" s="143"/>
      <c r="X183" s="216" t="s">
        <v>364</v>
      </c>
      <c r="Y183" s="213" t="s">
        <v>68</v>
      </c>
      <c r="Z183" s="214">
        <v>1.1000000000000001</v>
      </c>
      <c r="AA183" s="214">
        <v>124340.72</v>
      </c>
      <c r="AB183" s="215">
        <f>+ROUND(Z183*AA183,2)</f>
        <v>136774.79</v>
      </c>
      <c r="AC183" s="201"/>
      <c r="AD183" s="176"/>
      <c r="AE183" s="174"/>
      <c r="AF183" s="177" t="s">
        <v>382</v>
      </c>
      <c r="AG183" s="150"/>
      <c r="AH183" s="178"/>
      <c r="AI183" s="149"/>
      <c r="AJ183" s="179" t="str">
        <f>$G$55</f>
        <v>m2</v>
      </c>
      <c r="AK183" s="180">
        <f>$H$55</f>
        <v>92.6</v>
      </c>
      <c r="AL183" s="143"/>
      <c r="AM183" s="143"/>
      <c r="AN183" s="197" t="s">
        <v>53</v>
      </c>
      <c r="AO183" s="198"/>
      <c r="AP183" s="199"/>
      <c r="AQ183" s="199"/>
      <c r="AR183" s="200"/>
      <c r="AS183" s="181">
        <f>+AR182*AS175</f>
        <v>336148.78400000004</v>
      </c>
      <c r="AT183" s="135"/>
      <c r="AU183" s="174"/>
      <c r="AV183" s="143"/>
      <c r="BK183" s="136"/>
      <c r="BL183" s="194"/>
      <c r="BM183" s="176"/>
      <c r="BN183" s="176"/>
      <c r="BO183" s="176"/>
      <c r="BP183" s="176"/>
      <c r="BQ183" s="189"/>
      <c r="BR183" s="176"/>
      <c r="BS183" s="176"/>
      <c r="BT183" s="176"/>
      <c r="BU183" s="176"/>
      <c r="BV183" s="176"/>
      <c r="BW183" s="176"/>
      <c r="BX183" s="176"/>
      <c r="BY183" s="176"/>
      <c r="BZ183" s="176"/>
    </row>
    <row r="184" spans="15:78" ht="18" customHeight="1" thickBot="1" x14ac:dyDescent="0.25">
      <c r="O184" s="142"/>
      <c r="P184" s="224" t="s">
        <v>54</v>
      </c>
      <c r="Q184" s="225" t="s">
        <v>55</v>
      </c>
      <c r="R184" s="226"/>
      <c r="S184" s="226">
        <v>1600.8</v>
      </c>
      <c r="T184" s="215">
        <f>+ROUND(R184*S184,2)</f>
        <v>0</v>
      </c>
      <c r="U184" s="194"/>
      <c r="V184" s="194"/>
      <c r="W184" s="143"/>
      <c r="X184" s="216" t="s">
        <v>274</v>
      </c>
      <c r="Y184" s="213" t="s">
        <v>28</v>
      </c>
      <c r="Z184" s="214">
        <v>1</v>
      </c>
      <c r="AA184" s="214">
        <v>4103.2437</v>
      </c>
      <c r="AB184" s="215">
        <f>+ROUND(Z184*AA184,2)</f>
        <v>4103.24</v>
      </c>
      <c r="AC184" s="201"/>
      <c r="AD184" s="176"/>
      <c r="AE184" s="174"/>
      <c r="AF184" s="347"/>
      <c r="AG184" s="348"/>
      <c r="AH184" s="349"/>
      <c r="AI184" s="349"/>
      <c r="AJ184" s="350"/>
      <c r="AK184" s="412"/>
      <c r="AL184" s="143"/>
      <c r="AM184" s="143"/>
      <c r="AN184" s="224" t="s">
        <v>54</v>
      </c>
      <c r="AO184" s="225" t="s">
        <v>55</v>
      </c>
      <c r="AP184" s="226">
        <v>0.3</v>
      </c>
      <c r="AQ184" s="226">
        <v>1600.8</v>
      </c>
      <c r="AR184" s="215">
        <f>+ROUND(AP184*AQ184,2)</f>
        <v>480.24</v>
      </c>
      <c r="AS184" s="194"/>
      <c r="AT184" s="135"/>
      <c r="AU184" s="174"/>
      <c r="AV184" s="143"/>
      <c r="BK184" s="136"/>
      <c r="BL184" s="194"/>
      <c r="BM184" s="176"/>
      <c r="BN184" s="176"/>
      <c r="BO184" s="176"/>
      <c r="BP184" s="176"/>
      <c r="BQ184" s="189"/>
      <c r="BR184" s="176"/>
      <c r="BS184" s="176"/>
      <c r="BT184" s="176"/>
      <c r="BU184" s="176"/>
      <c r="BV184" s="176"/>
      <c r="BW184" s="176"/>
      <c r="BX184" s="176"/>
      <c r="BY184" s="176"/>
      <c r="BZ184" s="176"/>
    </row>
    <row r="185" spans="15:78" ht="18" customHeight="1" thickTop="1" x14ac:dyDescent="0.2">
      <c r="O185" s="142"/>
      <c r="P185" s="224" t="s">
        <v>56</v>
      </c>
      <c r="Q185" s="225" t="s">
        <v>55</v>
      </c>
      <c r="R185" s="226">
        <v>4</v>
      </c>
      <c r="S185" s="226">
        <v>1354.6999999999998</v>
      </c>
      <c r="T185" s="215">
        <f>+ROUND(R185*S185,2)</f>
        <v>5418.8</v>
      </c>
      <c r="U185" s="194"/>
      <c r="V185" s="194"/>
      <c r="W185" s="143"/>
      <c r="X185" s="224" t="s">
        <v>50</v>
      </c>
      <c r="Y185" s="225" t="s">
        <v>28</v>
      </c>
      <c r="Z185" s="226">
        <v>0.03</v>
      </c>
      <c r="AA185" s="219">
        <v>140878.03</v>
      </c>
      <c r="AB185" s="223">
        <f>+ROUND(Z185*AA185,2)</f>
        <v>4226.34</v>
      </c>
      <c r="AC185" s="201"/>
      <c r="AD185" s="153"/>
      <c r="AE185" s="174"/>
      <c r="AF185" s="293" t="s">
        <v>31</v>
      </c>
      <c r="AG185" s="294" t="s">
        <v>32</v>
      </c>
      <c r="AH185" s="294" t="s">
        <v>33</v>
      </c>
      <c r="AI185" s="294" t="s">
        <v>1</v>
      </c>
      <c r="AJ185" s="294" t="s">
        <v>34</v>
      </c>
      <c r="AK185" s="295" t="s">
        <v>76</v>
      </c>
      <c r="AL185" s="143"/>
      <c r="AM185" s="143"/>
      <c r="AN185" s="224" t="s">
        <v>56</v>
      </c>
      <c r="AO185" s="225" t="s">
        <v>55</v>
      </c>
      <c r="AP185" s="226">
        <v>0.15</v>
      </c>
      <c r="AQ185" s="226">
        <v>1354.6999999999998</v>
      </c>
      <c r="AR185" s="215">
        <f>+ROUND(AP185*AQ185,2)</f>
        <v>203.21</v>
      </c>
      <c r="AS185" s="194"/>
      <c r="AT185" s="135"/>
      <c r="AU185" s="174"/>
      <c r="AV185" s="143"/>
      <c r="BK185" s="136"/>
      <c r="BL185" s="194"/>
      <c r="BM185" s="176"/>
      <c r="BN185" s="176"/>
      <c r="BO185" s="176"/>
      <c r="BP185" s="176"/>
      <c r="BQ185" s="189"/>
      <c r="BR185" s="176"/>
      <c r="BS185" s="176"/>
      <c r="BT185" s="176"/>
      <c r="BU185" s="176"/>
      <c r="BV185" s="176"/>
      <c r="BW185" s="176"/>
      <c r="BX185" s="176"/>
      <c r="BY185" s="176"/>
      <c r="BZ185" s="176"/>
    </row>
    <row r="186" spans="15:78" ht="18" customHeight="1" x14ac:dyDescent="0.2">
      <c r="O186" s="142"/>
      <c r="P186" s="248"/>
      <c r="Q186" s="249"/>
      <c r="R186" s="219"/>
      <c r="S186" s="219"/>
      <c r="T186" s="215"/>
      <c r="U186" s="194"/>
      <c r="W186" s="143"/>
      <c r="X186" s="232" t="s">
        <v>51</v>
      </c>
      <c r="Y186" s="233"/>
      <c r="Z186" s="234"/>
      <c r="AA186" s="234"/>
      <c r="AB186" s="235">
        <f>SUM(AB183:AB185)</f>
        <v>145104.37</v>
      </c>
      <c r="AC186" s="235"/>
      <c r="AD186" s="194"/>
      <c r="AE186" s="174"/>
      <c r="AF186" s="296" t="s">
        <v>37</v>
      </c>
      <c r="AG186" s="297"/>
      <c r="AH186" s="298"/>
      <c r="AI186" s="298"/>
      <c r="AJ186" s="299"/>
      <c r="AK186" s="300"/>
      <c r="AL186" s="143"/>
      <c r="AM186" s="143"/>
      <c r="AN186" s="248"/>
      <c r="AO186" s="249"/>
      <c r="AP186" s="219"/>
      <c r="AQ186" s="219"/>
      <c r="AR186" s="215"/>
      <c r="AS186" s="194"/>
      <c r="AT186" s="135"/>
      <c r="AU186" s="174"/>
      <c r="AV186" s="143"/>
      <c r="BK186" s="136"/>
      <c r="BL186" s="136"/>
      <c r="BM186" s="176"/>
      <c r="BN186" s="176"/>
      <c r="BO186" s="176"/>
      <c r="BP186" s="176"/>
      <c r="BQ186" s="147"/>
      <c r="BR186" s="176"/>
      <c r="BS186" s="176"/>
      <c r="BT186" s="176"/>
      <c r="BU186" s="176"/>
      <c r="BV186" s="176"/>
      <c r="BW186" s="176"/>
      <c r="BX186" s="176"/>
      <c r="BY186" s="176"/>
      <c r="BZ186" s="176"/>
    </row>
    <row r="187" spans="15:78" ht="18" customHeight="1" x14ac:dyDescent="0.2">
      <c r="O187" s="142"/>
      <c r="P187" s="232" t="s">
        <v>57</v>
      </c>
      <c r="Q187" s="233"/>
      <c r="R187" s="234"/>
      <c r="S187" s="234"/>
      <c r="T187" s="235">
        <f>SUM(T184:T186)</f>
        <v>5418.8</v>
      </c>
      <c r="V187" s="149"/>
      <c r="W187" s="143"/>
      <c r="X187" s="197" t="s">
        <v>53</v>
      </c>
      <c r="Y187" s="198"/>
      <c r="Z187" s="199"/>
      <c r="AA187" s="199"/>
      <c r="AB187" s="200"/>
      <c r="AC187" s="241"/>
      <c r="AD187" s="194"/>
      <c r="AE187" s="174"/>
      <c r="AF187" s="301" t="s">
        <v>200</v>
      </c>
      <c r="AG187" s="302" t="s">
        <v>6</v>
      </c>
      <c r="AH187" s="303">
        <v>1.1000000000000001</v>
      </c>
      <c r="AI187" s="303">
        <v>2599.2999999999997</v>
      </c>
      <c r="AJ187" s="215">
        <f>+ROUND(AH187*AI187,2)</f>
        <v>2859.23</v>
      </c>
      <c r="AK187" s="300"/>
      <c r="AL187" s="143"/>
      <c r="AM187" s="143"/>
      <c r="AN187" s="232" t="s">
        <v>57</v>
      </c>
      <c r="AO187" s="233"/>
      <c r="AP187" s="234"/>
      <c r="AQ187" s="234"/>
      <c r="AR187" s="235">
        <f>SUM(AR184:AR186)</f>
        <v>683.45</v>
      </c>
      <c r="AS187" s="181">
        <f>+AR187*AS175</f>
        <v>123567.76000000001</v>
      </c>
      <c r="AT187" s="135"/>
      <c r="AU187" s="174"/>
      <c r="AV187" s="143"/>
      <c r="BK187" s="136"/>
      <c r="BL187" s="136"/>
      <c r="BM187" s="176"/>
      <c r="BN187" s="176"/>
      <c r="BO187" s="176"/>
      <c r="BP187" s="176"/>
      <c r="BQ187" s="147"/>
      <c r="BR187" s="176"/>
      <c r="BS187" s="176"/>
      <c r="BT187" s="176"/>
      <c r="BU187" s="176"/>
      <c r="BV187" s="176"/>
      <c r="BW187" s="176"/>
      <c r="BX187" s="176"/>
      <c r="BY187" s="176"/>
      <c r="BZ187" s="176"/>
    </row>
    <row r="188" spans="15:78" ht="18" customHeight="1" x14ac:dyDescent="0.2">
      <c r="O188" s="142"/>
      <c r="P188" s="197">
        <v>0</v>
      </c>
      <c r="Q188" s="198"/>
      <c r="R188" s="199"/>
      <c r="S188" s="199"/>
      <c r="T188" s="200"/>
      <c r="U188" s="153"/>
      <c r="W188" s="143"/>
      <c r="X188" s="224" t="s">
        <v>54</v>
      </c>
      <c r="Y188" s="225" t="s">
        <v>55</v>
      </c>
      <c r="Z188" s="226">
        <v>1</v>
      </c>
      <c r="AA188" s="226">
        <v>1600.8</v>
      </c>
      <c r="AB188" s="215">
        <f>+ROUND(Z188*AA188,2)</f>
        <v>1600.8</v>
      </c>
      <c r="AC188" s="194"/>
      <c r="AD188" s="194"/>
      <c r="AE188" s="174"/>
      <c r="AF188" s="301" t="s">
        <v>233</v>
      </c>
      <c r="AG188" s="302" t="s">
        <v>35</v>
      </c>
      <c r="AH188" s="303">
        <v>6</v>
      </c>
      <c r="AI188" s="303">
        <v>38.25</v>
      </c>
      <c r="AJ188" s="215">
        <f t="shared" ref="AJ188:AJ190" si="38">+ROUND(AH188*AI188,2)</f>
        <v>229.5</v>
      </c>
      <c r="AK188" s="300"/>
      <c r="AL188" s="143"/>
      <c r="AM188" s="143"/>
      <c r="AN188" s="197" t="s">
        <v>58</v>
      </c>
      <c r="AO188" s="198"/>
      <c r="AP188" s="199"/>
      <c r="AQ188" s="199"/>
      <c r="AR188" s="200"/>
      <c r="AS188" s="153"/>
      <c r="AT188" s="135"/>
      <c r="AU188" s="174"/>
      <c r="AV188" s="143"/>
      <c r="BK188" s="136"/>
      <c r="BL188" s="136"/>
      <c r="BM188" s="176"/>
      <c r="BN188" s="176"/>
      <c r="BO188" s="176"/>
      <c r="BP188" s="176"/>
      <c r="BQ188" s="147"/>
      <c r="BR188" s="176"/>
      <c r="BS188" s="176"/>
      <c r="BT188" s="176"/>
      <c r="BU188" s="176"/>
      <c r="BV188" s="176"/>
      <c r="BW188" s="176"/>
      <c r="BX188" s="176"/>
      <c r="BY188" s="176"/>
      <c r="BZ188" s="176"/>
    </row>
    <row r="189" spans="15:78" ht="18" customHeight="1" x14ac:dyDescent="0.2">
      <c r="O189" s="142"/>
      <c r="P189" s="252" t="s">
        <v>59</v>
      </c>
      <c r="Q189" s="213" t="s">
        <v>60</v>
      </c>
      <c r="R189" s="226">
        <v>1500</v>
      </c>
      <c r="S189" s="226">
        <v>1.9600688000000004</v>
      </c>
      <c r="T189" s="215">
        <f>+ROUND(R189*S189,2)</f>
        <v>2940.1</v>
      </c>
      <c r="U189" s="194"/>
      <c r="X189" s="224" t="s">
        <v>56</v>
      </c>
      <c r="Y189" s="225" t="s">
        <v>55</v>
      </c>
      <c r="Z189" s="226">
        <v>1</v>
      </c>
      <c r="AA189" s="226">
        <v>1354.6999999999998</v>
      </c>
      <c r="AB189" s="215">
        <f>+ROUND(Z189*AA189,2)</f>
        <v>1354.7</v>
      </c>
      <c r="AC189" s="194"/>
      <c r="AD189" s="194"/>
      <c r="AE189" s="174"/>
      <c r="AF189" s="301" t="s">
        <v>234</v>
      </c>
      <c r="AG189" s="302" t="s">
        <v>4</v>
      </c>
      <c r="AH189" s="303">
        <v>0.87</v>
      </c>
      <c r="AI189" s="303">
        <v>209.95</v>
      </c>
      <c r="AJ189" s="215">
        <f t="shared" si="38"/>
        <v>182.66</v>
      </c>
      <c r="AK189" s="300"/>
      <c r="AL189" s="143"/>
      <c r="AM189" s="143"/>
      <c r="AN189" s="252" t="s">
        <v>59</v>
      </c>
      <c r="AO189" s="213" t="s">
        <v>60</v>
      </c>
      <c r="AP189" s="226">
        <v>0</v>
      </c>
      <c r="AQ189" s="226">
        <v>1.9600688000000004</v>
      </c>
      <c r="AR189" s="215">
        <f>+ROUND(AP189*AQ189,2)</f>
        <v>0</v>
      </c>
      <c r="AS189" s="194"/>
      <c r="AT189" s="135"/>
      <c r="AU189" s="174"/>
      <c r="AV189" s="143"/>
      <c r="BK189" s="136"/>
      <c r="BL189" s="136"/>
      <c r="BM189" s="176"/>
      <c r="BN189" s="176"/>
      <c r="BO189" s="176"/>
      <c r="BP189" s="176"/>
      <c r="BQ189" s="147"/>
      <c r="BR189" s="176"/>
      <c r="BS189" s="176"/>
      <c r="BT189" s="176"/>
      <c r="BU189" s="176"/>
      <c r="BV189" s="176"/>
      <c r="BW189" s="176"/>
      <c r="BX189" s="176"/>
      <c r="BY189" s="176"/>
      <c r="BZ189" s="176"/>
    </row>
    <row r="190" spans="15:78" ht="18" customHeight="1" x14ac:dyDescent="0.2">
      <c r="O190" s="142"/>
      <c r="P190" s="202" t="s">
        <v>62</v>
      </c>
      <c r="Q190" s="250"/>
      <c r="R190" s="168"/>
      <c r="S190" s="168"/>
      <c r="T190" s="251">
        <f>SUM(T189:T189)</f>
        <v>2940.1</v>
      </c>
      <c r="U190" s="194"/>
      <c r="V190" s="135"/>
      <c r="X190" s="248"/>
      <c r="Y190" s="249"/>
      <c r="Z190" s="219"/>
      <c r="AA190" s="219"/>
      <c r="AB190" s="215"/>
      <c r="AC190" s="194"/>
      <c r="AE190" s="174"/>
      <c r="AF190" s="305" t="s">
        <v>50</v>
      </c>
      <c r="AG190" s="306" t="s">
        <v>28</v>
      </c>
      <c r="AH190" s="307">
        <v>0.03</v>
      </c>
      <c r="AI190" s="308">
        <v>3271.39</v>
      </c>
      <c r="AJ190" s="215">
        <f t="shared" si="38"/>
        <v>98.14</v>
      </c>
      <c r="AK190" s="300"/>
      <c r="AL190" s="143"/>
      <c r="AM190" s="143"/>
      <c r="AN190" s="202" t="s">
        <v>62</v>
      </c>
      <c r="AO190" s="250"/>
      <c r="AP190" s="168"/>
      <c r="AQ190" s="168"/>
      <c r="AR190" s="251">
        <f>SUM(AR189:AR189)</f>
        <v>0</v>
      </c>
      <c r="AS190" s="194"/>
      <c r="AT190" s="135"/>
      <c r="AU190" s="174"/>
      <c r="AV190" s="143"/>
      <c r="BK190" s="136"/>
      <c r="BL190" s="136"/>
      <c r="BM190" s="176"/>
      <c r="BN190" s="176"/>
      <c r="BO190" s="176"/>
      <c r="BP190" s="176"/>
      <c r="BQ190" s="147"/>
      <c r="BR190" s="176"/>
      <c r="BS190" s="176"/>
      <c r="BT190" s="176"/>
      <c r="BU190" s="176"/>
      <c r="BV190" s="176"/>
      <c r="BW190" s="176"/>
      <c r="BX190" s="176"/>
      <c r="BY190" s="176"/>
      <c r="BZ190" s="176"/>
    </row>
    <row r="191" spans="15:78" ht="18" customHeight="1" x14ac:dyDescent="0.2">
      <c r="P191" s="253" t="s">
        <v>63</v>
      </c>
      <c r="Q191" s="233"/>
      <c r="R191" s="254" t="s">
        <v>64</v>
      </c>
      <c r="S191" s="255"/>
      <c r="T191" s="256">
        <f>+T182+T187+T190</f>
        <v>8358.9</v>
      </c>
      <c r="U191" s="194"/>
      <c r="V191" s="135"/>
      <c r="X191" s="232" t="s">
        <v>57</v>
      </c>
      <c r="Y191" s="233"/>
      <c r="Z191" s="234"/>
      <c r="AA191" s="234"/>
      <c r="AB191" s="235">
        <f>SUM(AB188:AB190)</f>
        <v>2955.5</v>
      </c>
      <c r="AC191" s="138">
        <f>+AB191/AB186</f>
        <v>2.0368097804359719E-2</v>
      </c>
      <c r="AD191" s="149"/>
      <c r="AE191" s="174"/>
      <c r="AF191" s="309" t="s">
        <v>51</v>
      </c>
      <c r="AG191" s="310"/>
      <c r="AH191" s="311"/>
      <c r="AI191" s="311"/>
      <c r="AJ191" s="312">
        <f>SUM(AJ187:AJ190)</f>
        <v>3369.5299999999997</v>
      </c>
      <c r="AK191" s="312"/>
      <c r="AL191" s="143"/>
      <c r="AM191" s="143"/>
      <c r="AN191" s="253" t="s">
        <v>63</v>
      </c>
      <c r="AO191" s="233"/>
      <c r="AP191" s="254" t="s">
        <v>64</v>
      </c>
      <c r="AQ191" s="255"/>
      <c r="AR191" s="256">
        <f>+AR182+AR187+AR190</f>
        <v>2542.6800000000003</v>
      </c>
      <c r="AS191" s="140"/>
      <c r="AT191" s="135"/>
      <c r="AU191" s="174"/>
      <c r="AV191" s="143"/>
      <c r="BK191" s="135"/>
      <c r="BL191" s="136"/>
      <c r="BM191" s="176"/>
      <c r="BN191" s="176"/>
      <c r="BO191" s="176"/>
      <c r="BP191" s="176"/>
      <c r="BQ191" s="273"/>
      <c r="BR191" s="176"/>
      <c r="BS191" s="176"/>
      <c r="BT191" s="176"/>
      <c r="BU191" s="176"/>
      <c r="BV191" s="176"/>
      <c r="BW191" s="176"/>
      <c r="BX191" s="176"/>
      <c r="BY191" s="176"/>
      <c r="BZ191" s="176"/>
    </row>
    <row r="192" spans="15:78" ht="18" customHeight="1" x14ac:dyDescent="0.2">
      <c r="P192" s="194"/>
      <c r="Q192" s="148"/>
      <c r="R192" s="206"/>
      <c r="S192" s="194"/>
      <c r="T192" s="144"/>
      <c r="U192" s="194"/>
      <c r="V192" s="135"/>
      <c r="X192" s="197" t="s">
        <v>58</v>
      </c>
      <c r="Y192" s="198"/>
      <c r="Z192" s="199"/>
      <c r="AA192" s="199"/>
      <c r="AB192" s="200"/>
      <c r="AC192" s="153"/>
      <c r="AE192" s="174"/>
      <c r="AF192" s="296" t="s">
        <v>53</v>
      </c>
      <c r="AG192" s="297"/>
      <c r="AH192" s="298"/>
      <c r="AI192" s="298"/>
      <c r="AJ192" s="299"/>
      <c r="AK192" s="313"/>
      <c r="AL192" s="143"/>
      <c r="AM192" s="143"/>
      <c r="AN192" s="152"/>
      <c r="AO192" s="148"/>
      <c r="AP192" s="206"/>
      <c r="AQ192" s="194"/>
      <c r="AR192" s="144"/>
      <c r="AS192" s="194"/>
      <c r="AT192" s="135"/>
      <c r="AU192" s="174"/>
      <c r="AV192" s="143"/>
      <c r="BK192" s="136"/>
      <c r="BL192" s="136"/>
      <c r="BM192" s="176"/>
      <c r="BN192" s="176"/>
      <c r="BO192" s="176"/>
      <c r="BP192" s="176"/>
      <c r="BQ192" s="273"/>
      <c r="BR192" s="176"/>
      <c r="BS192" s="176"/>
      <c r="BT192" s="176"/>
      <c r="BU192" s="176"/>
      <c r="BV192" s="176"/>
      <c r="BW192" s="176"/>
      <c r="BX192" s="176"/>
      <c r="BY192" s="176"/>
      <c r="BZ192" s="176"/>
    </row>
    <row r="193" spans="15:78" ht="18" customHeight="1" x14ac:dyDescent="0.2">
      <c r="X193" s="252" t="s">
        <v>59</v>
      </c>
      <c r="Y193" s="213" t="s">
        <v>60</v>
      </c>
      <c r="Z193" s="226">
        <v>15.5</v>
      </c>
      <c r="AA193" s="226">
        <v>1.9600688000000004</v>
      </c>
      <c r="AB193" s="215">
        <f>+ROUND(Z193*AA193,2)</f>
        <v>30.38</v>
      </c>
      <c r="AC193" s="194"/>
      <c r="AE193" s="174"/>
      <c r="AF193" s="305" t="s">
        <v>54</v>
      </c>
      <c r="AG193" s="306" t="s">
        <v>55</v>
      </c>
      <c r="AH193" s="307">
        <v>1.2</v>
      </c>
      <c r="AI193" s="226">
        <v>1600.8</v>
      </c>
      <c r="AJ193" s="215">
        <f>+ROUND(AH193*AI193,2)</f>
        <v>1920.96</v>
      </c>
      <c r="AK193" s="314"/>
      <c r="AL193" s="143"/>
      <c r="AM193" s="143"/>
      <c r="AN193" s="155" t="s">
        <v>391</v>
      </c>
      <c r="AO193" s="169"/>
      <c r="AP193" s="172"/>
      <c r="AQ193" s="172"/>
      <c r="AR193" s="173"/>
      <c r="AS193" s="154"/>
      <c r="AT193" s="135"/>
      <c r="AU193" s="174"/>
      <c r="AV193" s="143"/>
      <c r="BK193" s="136"/>
      <c r="BL193" s="149"/>
      <c r="BM193" s="176"/>
      <c r="BN193" s="176"/>
      <c r="BO193" s="176"/>
      <c r="BP193" s="176"/>
      <c r="BQ193" s="273"/>
      <c r="BR193" s="176"/>
      <c r="BS193" s="176"/>
      <c r="BT193" s="176"/>
      <c r="BU193" s="176"/>
      <c r="BV193" s="176"/>
      <c r="BW193" s="176"/>
      <c r="BX193" s="176"/>
      <c r="BY193" s="176"/>
      <c r="BZ193" s="176"/>
    </row>
    <row r="194" spans="15:78" ht="18" customHeight="1" x14ac:dyDescent="0.2">
      <c r="X194" s="202" t="s">
        <v>62</v>
      </c>
      <c r="Y194" s="250"/>
      <c r="Z194" s="168"/>
      <c r="AA194" s="168"/>
      <c r="AB194" s="251">
        <f>SUM(AB193:AB193)</f>
        <v>30.38</v>
      </c>
      <c r="AC194" s="194"/>
      <c r="AD194" s="135"/>
      <c r="AE194" s="174"/>
      <c r="AF194" s="305" t="s">
        <v>56</v>
      </c>
      <c r="AG194" s="306" t="s">
        <v>55</v>
      </c>
      <c r="AH194" s="307">
        <v>1</v>
      </c>
      <c r="AI194" s="226">
        <v>1354.6999999999998</v>
      </c>
      <c r="AJ194" s="215">
        <f>+ROUND(AH194*AI194,2)</f>
        <v>1354.7</v>
      </c>
      <c r="AK194" s="314"/>
      <c r="AL194" s="143"/>
      <c r="AM194" s="143"/>
      <c r="AN194" s="177" t="s">
        <v>398</v>
      </c>
      <c r="AO194" s="150"/>
      <c r="AP194" s="178"/>
      <c r="AQ194" s="149"/>
      <c r="AR194" s="179" t="str">
        <f>$G$71</f>
        <v>m2</v>
      </c>
      <c r="AS194" s="180">
        <f>$H$71</f>
        <v>165.006</v>
      </c>
      <c r="AT194" s="135"/>
      <c r="AU194" s="174"/>
      <c r="AV194" s="143"/>
      <c r="BK194" s="136"/>
      <c r="BL194" s="149"/>
      <c r="BM194" s="176"/>
      <c r="BN194" s="176"/>
      <c r="BO194" s="176"/>
      <c r="BP194" s="176"/>
      <c r="BQ194" s="273"/>
      <c r="BR194" s="176"/>
      <c r="BS194" s="176"/>
      <c r="BT194" s="176"/>
      <c r="BU194" s="176"/>
      <c r="BV194" s="176"/>
      <c r="BW194" s="176"/>
      <c r="BX194" s="176"/>
      <c r="BY194" s="176"/>
      <c r="BZ194" s="176"/>
    </row>
    <row r="195" spans="15:78" ht="18" customHeight="1" thickBot="1" x14ac:dyDescent="0.25">
      <c r="O195" s="142"/>
      <c r="X195" s="253" t="s">
        <v>63</v>
      </c>
      <c r="Y195" s="233"/>
      <c r="Z195" s="254" t="s">
        <v>64</v>
      </c>
      <c r="AA195" s="255"/>
      <c r="AB195" s="256">
        <f>+AB186+AB191+AB194</f>
        <v>148090.25</v>
      </c>
      <c r="AC195" s="194"/>
      <c r="AD195" s="135"/>
      <c r="AE195" s="174"/>
      <c r="AF195" s="315"/>
      <c r="AG195" s="316"/>
      <c r="AH195" s="308"/>
      <c r="AI195" s="308"/>
      <c r="AJ195" s="317"/>
      <c r="AK195" s="314"/>
      <c r="AL195" s="143"/>
      <c r="AM195" s="143"/>
      <c r="AN195" s="177"/>
      <c r="AO195" s="184"/>
      <c r="AP195" s="185"/>
      <c r="AQ195" s="185"/>
      <c r="AR195" s="179"/>
      <c r="AS195" s="180"/>
      <c r="AT195" s="135"/>
      <c r="AU195" s="174"/>
      <c r="AV195" s="143"/>
      <c r="BK195" s="135"/>
      <c r="BL195" s="149"/>
      <c r="BM195" s="176"/>
      <c r="BN195" s="176"/>
      <c r="BO195" s="176"/>
      <c r="BP195" s="176"/>
      <c r="BQ195" s="273"/>
      <c r="BR195" s="176"/>
      <c r="BS195" s="176"/>
      <c r="BT195" s="176"/>
      <c r="BU195" s="176"/>
      <c r="BV195" s="176"/>
      <c r="BW195" s="176"/>
      <c r="BX195" s="176"/>
      <c r="BY195" s="176"/>
      <c r="BZ195" s="176"/>
    </row>
    <row r="196" spans="15:78" ht="18" customHeight="1" thickTop="1" x14ac:dyDescent="0.2">
      <c r="O196" s="142"/>
      <c r="X196" s="152"/>
      <c r="Y196" s="148"/>
      <c r="Z196" s="206"/>
      <c r="AA196" s="194"/>
      <c r="AB196" s="144"/>
      <c r="AC196" s="194"/>
      <c r="AD196" s="135"/>
      <c r="AE196" s="174"/>
      <c r="AF196" s="309" t="s">
        <v>57</v>
      </c>
      <c r="AG196" s="310"/>
      <c r="AH196" s="311"/>
      <c r="AI196" s="311"/>
      <c r="AJ196" s="235">
        <f>SUM(AJ193:AJ195)</f>
        <v>3275.66</v>
      </c>
      <c r="AK196" s="412"/>
      <c r="AL196" s="143"/>
      <c r="AM196" s="143"/>
      <c r="AN196" s="191" t="s">
        <v>31</v>
      </c>
      <c r="AO196" s="192" t="s">
        <v>32</v>
      </c>
      <c r="AP196" s="192" t="s">
        <v>33</v>
      </c>
      <c r="AQ196" s="192" t="s">
        <v>1</v>
      </c>
      <c r="AR196" s="192" t="s">
        <v>34</v>
      </c>
      <c r="AS196" s="193" t="s">
        <v>76</v>
      </c>
      <c r="AT196" s="135"/>
      <c r="AU196" s="174"/>
      <c r="AV196" s="143"/>
      <c r="BK196" s="135"/>
      <c r="BL196" s="149"/>
      <c r="BM196" s="176"/>
      <c r="BN196" s="176"/>
      <c r="BO196" s="176"/>
      <c r="BP196" s="176"/>
      <c r="BQ196" s="273"/>
      <c r="BR196" s="176"/>
      <c r="BS196" s="176"/>
      <c r="BT196" s="176"/>
      <c r="BU196" s="176"/>
      <c r="BV196" s="176"/>
      <c r="BW196" s="176"/>
      <c r="BX196" s="176"/>
      <c r="BY196" s="176"/>
      <c r="BZ196" s="176"/>
    </row>
    <row r="197" spans="15:78" ht="18" customHeight="1" x14ac:dyDescent="0.2">
      <c r="O197" s="142"/>
      <c r="X197" s="155" t="s">
        <v>354</v>
      </c>
      <c r="Y197" s="169"/>
      <c r="Z197" s="172"/>
      <c r="AA197" s="172"/>
      <c r="AB197" s="173"/>
      <c r="AC197" s="154"/>
      <c r="AD197" s="135"/>
      <c r="AE197" s="174"/>
      <c r="AF197" s="296" t="s">
        <v>58</v>
      </c>
      <c r="AG197" s="297"/>
      <c r="AH197" s="298"/>
      <c r="AI197" s="298"/>
      <c r="AJ197" s="299"/>
      <c r="AK197" s="318"/>
      <c r="AL197" s="143"/>
      <c r="AM197" s="143"/>
      <c r="AN197" s="197" t="s">
        <v>37</v>
      </c>
      <c r="AO197" s="198"/>
      <c r="AP197" s="199"/>
      <c r="AQ197" s="199"/>
      <c r="AR197" s="200"/>
      <c r="AS197" s="201"/>
      <c r="AT197" s="135"/>
      <c r="AU197" s="174"/>
      <c r="AV197" s="143"/>
      <c r="BK197" s="135"/>
      <c r="BL197" s="149"/>
      <c r="BM197" s="176"/>
      <c r="BN197" s="176"/>
      <c r="BO197" s="176"/>
      <c r="BP197" s="176"/>
      <c r="BQ197" s="273"/>
      <c r="BR197" s="176"/>
      <c r="BS197" s="176"/>
      <c r="BT197" s="176"/>
      <c r="BU197" s="176"/>
      <c r="BV197" s="176"/>
      <c r="BW197" s="176"/>
      <c r="BX197" s="176"/>
      <c r="BY197" s="176"/>
      <c r="BZ197" s="176"/>
    </row>
    <row r="198" spans="15:78" ht="18" customHeight="1" x14ac:dyDescent="0.2">
      <c r="O198" s="142"/>
      <c r="W198" s="143"/>
      <c r="X198" s="177" t="s">
        <v>365</v>
      </c>
      <c r="Y198" s="150"/>
      <c r="Z198" s="178"/>
      <c r="AA198" s="149"/>
      <c r="AB198" s="179" t="str">
        <f>$G$38</f>
        <v>ml</v>
      </c>
      <c r="AC198" s="180">
        <f>$H$38</f>
        <v>280.5</v>
      </c>
      <c r="AD198" s="163"/>
      <c r="AE198" s="174"/>
      <c r="AF198" s="319" t="s">
        <v>59</v>
      </c>
      <c r="AG198" s="302" t="s">
        <v>60</v>
      </c>
      <c r="AH198" s="307">
        <v>8.07</v>
      </c>
      <c r="AI198" s="226">
        <v>1.9600688000000004</v>
      </c>
      <c r="AJ198" s="215">
        <f>+ROUND(AH198*AI198,2)</f>
        <v>15.82</v>
      </c>
      <c r="AK198" s="314"/>
      <c r="AL198" s="143"/>
      <c r="AM198" s="143"/>
      <c r="AN198" s="216" t="s">
        <v>398</v>
      </c>
      <c r="AO198" s="213" t="s">
        <v>17</v>
      </c>
      <c r="AP198" s="214">
        <v>1.05</v>
      </c>
      <c r="AQ198" s="214">
        <v>4290</v>
      </c>
      <c r="AR198" s="215">
        <f>+ROUND(AP198*AQ198,2)</f>
        <v>4504.5</v>
      </c>
      <c r="AS198" s="201"/>
      <c r="AT198" s="135"/>
      <c r="AU198" s="174"/>
      <c r="AV198" s="143"/>
      <c r="BK198" s="135"/>
      <c r="BL198" s="149"/>
      <c r="BM198" s="176"/>
      <c r="BN198" s="176"/>
      <c r="BO198" s="176"/>
      <c r="BP198" s="176"/>
      <c r="BQ198" s="189"/>
      <c r="BR198" s="176"/>
      <c r="BS198" s="176"/>
      <c r="BT198" s="176"/>
      <c r="BU198" s="176"/>
      <c r="BV198" s="176"/>
      <c r="BW198" s="176"/>
      <c r="BX198" s="176"/>
      <c r="BY198" s="176"/>
      <c r="BZ198" s="176"/>
    </row>
    <row r="199" spans="15:78" ht="18" customHeight="1" thickBot="1" x14ac:dyDescent="0.25">
      <c r="O199" s="142"/>
      <c r="W199" s="143"/>
      <c r="X199" s="183"/>
      <c r="Y199" s="184"/>
      <c r="Z199" s="185"/>
      <c r="AA199" s="185"/>
      <c r="AB199" s="186"/>
      <c r="AD199" s="145"/>
      <c r="AE199" s="174"/>
      <c r="AF199" s="320" t="s">
        <v>62</v>
      </c>
      <c r="AG199" s="321"/>
      <c r="AH199" s="322"/>
      <c r="AI199" s="322"/>
      <c r="AJ199" s="251">
        <f>SUM(AJ198:AJ198)</f>
        <v>15.82</v>
      </c>
      <c r="AK199" s="314"/>
      <c r="AL199" s="143"/>
      <c r="AM199" s="143"/>
      <c r="AN199" s="167" t="s">
        <v>286</v>
      </c>
      <c r="AO199" s="213" t="s">
        <v>35</v>
      </c>
      <c r="AP199" s="214">
        <v>6</v>
      </c>
      <c r="AQ199" s="214">
        <v>34.85</v>
      </c>
      <c r="AR199" s="215">
        <f>+ROUND(AP199*AQ199,2)</f>
        <v>209.1</v>
      </c>
      <c r="AS199" s="201"/>
      <c r="AT199" s="135"/>
      <c r="AU199" s="174"/>
      <c r="AV199" s="143"/>
      <c r="BK199" s="135"/>
      <c r="BL199" s="149"/>
      <c r="BM199" s="176"/>
      <c r="BN199" s="176"/>
      <c r="BO199" s="176"/>
      <c r="BP199" s="176"/>
      <c r="BQ199" s="189"/>
      <c r="BR199" s="176"/>
      <c r="BS199" s="176"/>
      <c r="BT199" s="176"/>
      <c r="BU199" s="176"/>
      <c r="BV199" s="176"/>
      <c r="BW199" s="176"/>
      <c r="BX199" s="176"/>
      <c r="BY199" s="176"/>
      <c r="BZ199" s="176"/>
    </row>
    <row r="200" spans="15:78" ht="18" customHeight="1" thickTop="1" x14ac:dyDescent="0.2">
      <c r="O200" s="142"/>
      <c r="W200" s="143"/>
      <c r="X200" s="191" t="s">
        <v>31</v>
      </c>
      <c r="Y200" s="192" t="s">
        <v>32</v>
      </c>
      <c r="Z200" s="192" t="s">
        <v>33</v>
      </c>
      <c r="AA200" s="192" t="s">
        <v>1</v>
      </c>
      <c r="AB200" s="192" t="s">
        <v>34</v>
      </c>
      <c r="AC200" s="193" t="s">
        <v>76</v>
      </c>
      <c r="AD200" s="153"/>
      <c r="AE200" s="174"/>
      <c r="AF200" s="323" t="s">
        <v>227</v>
      </c>
      <c r="AG200" s="310"/>
      <c r="AH200" s="324" t="s">
        <v>64</v>
      </c>
      <c r="AI200" s="325"/>
      <c r="AJ200" s="256">
        <f>+AJ191+AJ196+AJ199</f>
        <v>6661.0099999999993</v>
      </c>
      <c r="AK200" s="314"/>
      <c r="AL200" s="174"/>
      <c r="AM200" s="174"/>
      <c r="AN200" s="224" t="s">
        <v>50</v>
      </c>
      <c r="AO200" s="225" t="s">
        <v>28</v>
      </c>
      <c r="AP200" s="226">
        <v>0.03</v>
      </c>
      <c r="AQ200" s="219">
        <v>4713.6000000000004</v>
      </c>
      <c r="AR200" s="223">
        <f>+ROUND(AP200*AQ200,2)</f>
        <v>141.41</v>
      </c>
      <c r="AS200" s="201"/>
      <c r="AT200" s="135"/>
      <c r="AU200" s="174"/>
      <c r="AV200" s="143"/>
      <c r="BK200" s="135"/>
      <c r="BL200" s="149"/>
      <c r="BM200" s="176"/>
      <c r="BN200" s="176"/>
      <c r="BO200" s="176"/>
      <c r="BP200" s="176"/>
      <c r="BQ200" s="189"/>
      <c r="BR200" s="176"/>
      <c r="BS200" s="176"/>
      <c r="BT200" s="176"/>
      <c r="BU200" s="176"/>
      <c r="BV200" s="176"/>
      <c r="BW200" s="176"/>
      <c r="BX200" s="176"/>
      <c r="BY200" s="176"/>
      <c r="BZ200" s="176"/>
    </row>
    <row r="201" spans="15:78" ht="18" customHeight="1" x14ac:dyDescent="0.2">
      <c r="O201" s="142"/>
      <c r="W201" s="143"/>
      <c r="X201" s="197" t="s">
        <v>37</v>
      </c>
      <c r="Y201" s="198"/>
      <c r="Z201" s="199"/>
      <c r="AA201" s="199"/>
      <c r="AB201" s="200"/>
      <c r="AC201" s="201"/>
      <c r="AD201" s="153"/>
      <c r="AE201" s="174"/>
      <c r="AF201" s="356"/>
      <c r="AG201" s="327"/>
      <c r="AH201" s="328"/>
      <c r="AI201" s="314"/>
      <c r="AJ201" s="329"/>
      <c r="AK201" s="314"/>
      <c r="AL201" s="143"/>
      <c r="AM201" s="143"/>
      <c r="AN201" s="232" t="s">
        <v>51</v>
      </c>
      <c r="AO201" s="233"/>
      <c r="AP201" s="234"/>
      <c r="AQ201" s="234"/>
      <c r="AR201" s="235">
        <f>SUM(AR198:AR200)</f>
        <v>4855.01</v>
      </c>
      <c r="AS201" s="235"/>
      <c r="AT201" s="135"/>
      <c r="AU201" s="174"/>
      <c r="AV201" s="143"/>
      <c r="BK201" s="135"/>
      <c r="BL201" s="149"/>
      <c r="BM201" s="176"/>
      <c r="BN201" s="176"/>
      <c r="BO201" s="176"/>
      <c r="BP201" s="176"/>
      <c r="BQ201" s="189"/>
      <c r="BR201" s="176"/>
      <c r="BS201" s="176"/>
      <c r="BT201" s="176"/>
      <c r="BU201" s="176"/>
      <c r="BV201" s="176"/>
      <c r="BW201" s="176"/>
      <c r="BX201" s="176"/>
      <c r="BY201" s="176"/>
      <c r="BZ201" s="176"/>
    </row>
    <row r="202" spans="15:78" ht="18" customHeight="1" x14ac:dyDescent="0.2">
      <c r="O202" s="142"/>
      <c r="W202" s="143"/>
      <c r="X202" s="216" t="s">
        <v>365</v>
      </c>
      <c r="Y202" s="213" t="s">
        <v>68</v>
      </c>
      <c r="Z202" s="214">
        <v>1.1000000000000001</v>
      </c>
      <c r="AA202" s="214">
        <v>3362.1749999999997</v>
      </c>
      <c r="AB202" s="215">
        <f>+ROUND(Z202*AA202,2)</f>
        <v>3698.39</v>
      </c>
      <c r="AC202" s="201"/>
      <c r="AD202" s="176"/>
      <c r="AE202" s="174"/>
      <c r="AF202" s="155" t="s">
        <v>381</v>
      </c>
      <c r="AG202" s="169"/>
      <c r="AH202" s="172"/>
      <c r="AI202" s="172"/>
      <c r="AJ202" s="173"/>
      <c r="AK202" s="154"/>
      <c r="AL202" s="143"/>
      <c r="AM202" s="143"/>
      <c r="AN202" s="197" t="s">
        <v>53</v>
      </c>
      <c r="AO202" s="198"/>
      <c r="AP202" s="199"/>
      <c r="AQ202" s="199"/>
      <c r="AR202" s="200"/>
      <c r="AS202" s="181">
        <f>+AR201*AS194</f>
        <v>801105.78006000002</v>
      </c>
      <c r="AT202" s="135"/>
      <c r="AU202" s="174"/>
      <c r="AV202" s="143"/>
      <c r="BK202" s="135"/>
      <c r="BL202" s="149"/>
      <c r="BM202" s="176"/>
      <c r="BN202" s="176"/>
      <c r="BO202" s="176"/>
      <c r="BP202" s="176"/>
      <c r="BQ202" s="189"/>
      <c r="BR202" s="176"/>
      <c r="BS202" s="176"/>
      <c r="BT202" s="176"/>
      <c r="BU202" s="176"/>
      <c r="BV202" s="176"/>
      <c r="BW202" s="176"/>
      <c r="BX202" s="176"/>
      <c r="BY202" s="176"/>
      <c r="BZ202" s="176"/>
    </row>
    <row r="203" spans="15:78" ht="18" customHeight="1" x14ac:dyDescent="0.2">
      <c r="O203" s="142"/>
      <c r="W203" s="143"/>
      <c r="X203" s="216" t="s">
        <v>260</v>
      </c>
      <c r="Y203" s="213" t="s">
        <v>28</v>
      </c>
      <c r="Z203" s="214">
        <v>1</v>
      </c>
      <c r="AA203" s="214">
        <v>110.95169999999999</v>
      </c>
      <c r="AB203" s="215">
        <f>+ROUND(Z203*AA203,2)</f>
        <v>110.95</v>
      </c>
      <c r="AC203" s="201"/>
      <c r="AD203" s="176"/>
      <c r="AE203" s="174"/>
      <c r="AF203" s="177" t="s">
        <v>383</v>
      </c>
      <c r="AG203" s="150"/>
      <c r="AH203" s="178"/>
      <c r="AI203" s="149"/>
      <c r="AJ203" s="179" t="str">
        <f>$G$56</f>
        <v>ml</v>
      </c>
      <c r="AK203" s="180">
        <f>$H$56</f>
        <v>12.35</v>
      </c>
      <c r="AL203" s="143"/>
      <c r="AM203" s="143"/>
      <c r="AN203" s="224" t="s">
        <v>54</v>
      </c>
      <c r="AO203" s="225" t="s">
        <v>55</v>
      </c>
      <c r="AP203" s="226">
        <v>0.5</v>
      </c>
      <c r="AQ203" s="226">
        <v>1600.8</v>
      </c>
      <c r="AR203" s="215">
        <f>+ROUND(AP203*AQ203,2)</f>
        <v>800.4</v>
      </c>
      <c r="AS203" s="194"/>
      <c r="AT203" s="135"/>
      <c r="AU203" s="174"/>
      <c r="AV203" s="143"/>
      <c r="BK203" s="135"/>
      <c r="BL203" s="149"/>
      <c r="BM203" s="176"/>
      <c r="BN203" s="176"/>
      <c r="BO203" s="176"/>
      <c r="BP203" s="176"/>
      <c r="BQ203" s="176"/>
      <c r="BR203" s="176"/>
      <c r="BS203" s="176"/>
      <c r="BT203" s="135"/>
      <c r="BU203" s="135"/>
      <c r="BV203" s="135"/>
      <c r="BW203" s="135"/>
      <c r="BX203" s="135"/>
    </row>
    <row r="204" spans="15:78" ht="18" customHeight="1" thickBot="1" x14ac:dyDescent="0.25">
      <c r="O204" s="142"/>
      <c r="W204" s="143"/>
      <c r="X204" s="224" t="s">
        <v>50</v>
      </c>
      <c r="Y204" s="225" t="s">
        <v>28</v>
      </c>
      <c r="Z204" s="226">
        <v>0.03</v>
      </c>
      <c r="AA204" s="219">
        <v>110.95</v>
      </c>
      <c r="AB204" s="223">
        <f>+ROUND(Z204*AA204,2)</f>
        <v>3.33</v>
      </c>
      <c r="AC204" s="201"/>
      <c r="AD204" s="153"/>
      <c r="AE204" s="174"/>
      <c r="AF204" s="347"/>
      <c r="AG204" s="348"/>
      <c r="AH204" s="349"/>
      <c r="AI204" s="349"/>
      <c r="AJ204" s="350"/>
      <c r="AK204" s="412"/>
      <c r="AL204" s="143"/>
      <c r="AM204" s="143"/>
      <c r="AN204" s="224" t="s">
        <v>56</v>
      </c>
      <c r="AO204" s="225" t="s">
        <v>55</v>
      </c>
      <c r="AP204" s="226">
        <v>0.5</v>
      </c>
      <c r="AQ204" s="226">
        <v>1354.6999999999998</v>
      </c>
      <c r="AR204" s="215">
        <f>+ROUND(AP204*AQ204,2)</f>
        <v>677.35</v>
      </c>
      <c r="AS204" s="194"/>
      <c r="AT204" s="135"/>
      <c r="AU204" s="174"/>
      <c r="AV204" s="143"/>
      <c r="BK204" s="135"/>
      <c r="BL204" s="149"/>
      <c r="BM204" s="176"/>
      <c r="BN204" s="176"/>
      <c r="BO204" s="176"/>
      <c r="BP204" s="176"/>
      <c r="BQ204" s="176"/>
      <c r="BR204" s="176"/>
      <c r="BS204" s="176"/>
      <c r="BT204" s="135"/>
      <c r="BU204" s="135"/>
      <c r="BV204" s="135"/>
      <c r="BW204" s="135"/>
      <c r="BX204" s="135"/>
    </row>
    <row r="205" spans="15:78" ht="18" customHeight="1" thickTop="1" x14ac:dyDescent="0.2">
      <c r="O205" s="142"/>
      <c r="W205" s="143"/>
      <c r="X205" s="232" t="s">
        <v>51</v>
      </c>
      <c r="Y205" s="233"/>
      <c r="Z205" s="234"/>
      <c r="AA205" s="234"/>
      <c r="AB205" s="235">
        <f>SUM(AB202:AB204)</f>
        <v>3812.6699999999996</v>
      </c>
      <c r="AC205" s="235"/>
      <c r="AD205" s="194"/>
      <c r="AE205" s="174"/>
      <c r="AF205" s="293" t="s">
        <v>31</v>
      </c>
      <c r="AG205" s="294" t="s">
        <v>32</v>
      </c>
      <c r="AH205" s="294" t="s">
        <v>33</v>
      </c>
      <c r="AI205" s="294" t="s">
        <v>1</v>
      </c>
      <c r="AJ205" s="294" t="s">
        <v>34</v>
      </c>
      <c r="AK205" s="295" t="s">
        <v>76</v>
      </c>
      <c r="AL205" s="143"/>
      <c r="AM205" s="143"/>
      <c r="AN205" s="248"/>
      <c r="AO205" s="249"/>
      <c r="AP205" s="219"/>
      <c r="AQ205" s="219"/>
      <c r="AR205" s="215"/>
      <c r="AS205" s="181">
        <f>+AR206*AS194</f>
        <v>243837.6165</v>
      </c>
      <c r="AT205" s="135"/>
      <c r="AU205" s="174"/>
      <c r="AV205" s="143"/>
      <c r="BK205" s="135"/>
      <c r="BL205" s="149"/>
      <c r="BM205" s="176"/>
      <c r="BN205" s="176"/>
      <c r="BO205" s="176"/>
      <c r="BP205" s="176"/>
      <c r="BQ205" s="176"/>
      <c r="BR205" s="176"/>
      <c r="BS205" s="176"/>
      <c r="BT205" s="135"/>
      <c r="BU205" s="135"/>
      <c r="BV205" s="135"/>
      <c r="BW205" s="135"/>
      <c r="BX205" s="135"/>
    </row>
    <row r="206" spans="15:78" ht="18" customHeight="1" x14ac:dyDescent="0.2">
      <c r="O206" s="142"/>
      <c r="W206" s="143"/>
      <c r="X206" s="197" t="s">
        <v>53</v>
      </c>
      <c r="Y206" s="198"/>
      <c r="Z206" s="199"/>
      <c r="AA206" s="199"/>
      <c r="AB206" s="200"/>
      <c r="AC206" s="241"/>
      <c r="AD206" s="194"/>
      <c r="AE206" s="174"/>
      <c r="AF206" s="296" t="s">
        <v>37</v>
      </c>
      <c r="AG206" s="297"/>
      <c r="AH206" s="298"/>
      <c r="AI206" s="298"/>
      <c r="AJ206" s="299"/>
      <c r="AK206" s="300"/>
      <c r="AL206" s="143"/>
      <c r="AM206" s="143"/>
      <c r="AN206" s="232" t="s">
        <v>57</v>
      </c>
      <c r="AO206" s="233"/>
      <c r="AP206" s="234"/>
      <c r="AQ206" s="234"/>
      <c r="AR206" s="235">
        <f>SUM(AR203:AR205)</f>
        <v>1477.75</v>
      </c>
      <c r="AS206" s="181">
        <f>+AR206/AR201</f>
        <v>0.3043763040652851</v>
      </c>
      <c r="AT206" s="135"/>
      <c r="AU206" s="174"/>
      <c r="AV206" s="143"/>
      <c r="BK206" s="135"/>
      <c r="BL206" s="149"/>
      <c r="BM206" s="176"/>
      <c r="BN206" s="176"/>
      <c r="BO206" s="176"/>
      <c r="BP206" s="176"/>
      <c r="BQ206" s="176"/>
      <c r="BR206" s="176"/>
      <c r="BS206" s="176"/>
      <c r="BT206" s="135"/>
      <c r="BU206" s="135"/>
      <c r="BV206" s="135"/>
      <c r="BW206" s="135"/>
      <c r="BX206" s="135"/>
    </row>
    <row r="207" spans="15:78" ht="18" customHeight="1" x14ac:dyDescent="0.2">
      <c r="O207" s="142"/>
      <c r="W207" s="143"/>
      <c r="X207" s="224" t="s">
        <v>54</v>
      </c>
      <c r="Y207" s="225" t="s">
        <v>55</v>
      </c>
      <c r="Z207" s="226">
        <v>0.1</v>
      </c>
      <c r="AA207" s="226">
        <v>1600.8</v>
      </c>
      <c r="AB207" s="215">
        <f>+ROUND(Z207*AA207,2)</f>
        <v>160.08000000000001</v>
      </c>
      <c r="AC207" s="194"/>
      <c r="AD207" s="194"/>
      <c r="AE207" s="174"/>
      <c r="AF207" s="301" t="s">
        <v>137</v>
      </c>
      <c r="AG207" s="302" t="s">
        <v>6</v>
      </c>
      <c r="AH207" s="303">
        <v>1.1000000000000001</v>
      </c>
      <c r="AI207" s="303">
        <v>3315</v>
      </c>
      <c r="AJ207" s="215">
        <f>+ROUND(AH207*AI207,2)</f>
        <v>3646.5</v>
      </c>
      <c r="AK207" s="300"/>
      <c r="AL207" s="143"/>
      <c r="AM207" s="143"/>
      <c r="AN207" s="197" t="s">
        <v>58</v>
      </c>
      <c r="AO207" s="198"/>
      <c r="AP207" s="199"/>
      <c r="AQ207" s="199"/>
      <c r="AR207" s="200"/>
      <c r="AS207" s="153"/>
      <c r="AT207" s="135"/>
      <c r="AU207" s="174"/>
      <c r="AV207" s="143"/>
      <c r="BK207" s="135"/>
      <c r="BL207" s="149"/>
      <c r="BM207" s="176"/>
      <c r="BN207" s="176"/>
      <c r="BO207" s="176"/>
      <c r="BP207" s="176"/>
      <c r="BQ207" s="176"/>
      <c r="BR207" s="176"/>
      <c r="BS207" s="176"/>
      <c r="BT207" s="135"/>
      <c r="BU207" s="135"/>
      <c r="BV207" s="135"/>
      <c r="BW207" s="135"/>
      <c r="BX207" s="135"/>
    </row>
    <row r="208" spans="15:78" ht="18" customHeight="1" x14ac:dyDescent="0.2">
      <c r="O208" s="142"/>
      <c r="W208" s="143"/>
      <c r="X208" s="224" t="s">
        <v>56</v>
      </c>
      <c r="Y208" s="225" t="s">
        <v>55</v>
      </c>
      <c r="Z208" s="226">
        <v>0.1</v>
      </c>
      <c r="AA208" s="226">
        <v>1354.6999999999998</v>
      </c>
      <c r="AB208" s="215">
        <f>+ROUND(Z208*AA208,2)</f>
        <v>135.47</v>
      </c>
      <c r="AC208" s="194"/>
      <c r="AD208" s="194"/>
      <c r="AE208" s="174"/>
      <c r="AF208" s="301" t="s">
        <v>235</v>
      </c>
      <c r="AG208" s="302" t="s">
        <v>28</v>
      </c>
      <c r="AH208" s="303">
        <v>1</v>
      </c>
      <c r="AI208" s="303">
        <v>546.97500000000002</v>
      </c>
      <c r="AJ208" s="215">
        <f t="shared" ref="AJ208:AJ210" si="39">+ROUND(AH208*AI208,2)</f>
        <v>546.98</v>
      </c>
      <c r="AK208" s="300"/>
      <c r="AL208" s="143"/>
      <c r="AM208" s="143"/>
      <c r="AN208" s="252" t="s">
        <v>59</v>
      </c>
      <c r="AO208" s="213" t="s">
        <v>60</v>
      </c>
      <c r="AP208" s="226">
        <v>0</v>
      </c>
      <c r="AQ208" s="226">
        <v>1.9600688000000004</v>
      </c>
      <c r="AR208" s="215">
        <f>+ROUND(AP208*AQ208,2)</f>
        <v>0</v>
      </c>
      <c r="AS208" s="194"/>
      <c r="AT208" s="135"/>
      <c r="AU208" s="174"/>
      <c r="AV208" s="143"/>
      <c r="BK208" s="135"/>
      <c r="BL208" s="149"/>
      <c r="BM208" s="176"/>
      <c r="BN208" s="176"/>
      <c r="BO208" s="176"/>
      <c r="BP208" s="176"/>
      <c r="BQ208" s="176"/>
      <c r="BR208" s="176"/>
      <c r="BS208" s="176"/>
      <c r="BT208" s="135"/>
      <c r="BU208" s="135"/>
      <c r="BV208" s="135"/>
      <c r="BW208" s="135"/>
      <c r="BX208" s="135"/>
    </row>
    <row r="209" spans="15:76" ht="18" customHeight="1" x14ac:dyDescent="0.2">
      <c r="O209" s="142"/>
      <c r="W209" s="143"/>
      <c r="X209" s="248"/>
      <c r="Y209" s="249"/>
      <c r="Z209" s="219"/>
      <c r="AA209" s="219"/>
      <c r="AB209" s="215"/>
      <c r="AC209" s="194"/>
      <c r="AE209" s="174"/>
      <c r="AF209" s="301" t="s">
        <v>236</v>
      </c>
      <c r="AG209" s="302" t="s">
        <v>28</v>
      </c>
      <c r="AH209" s="303">
        <v>0.2</v>
      </c>
      <c r="AI209" s="303">
        <v>108.45365645340799</v>
      </c>
      <c r="AJ209" s="215">
        <f t="shared" si="39"/>
        <v>21.69</v>
      </c>
      <c r="AK209" s="300"/>
      <c r="AL209" s="143"/>
      <c r="AM209" s="143"/>
      <c r="AN209" s="202" t="s">
        <v>62</v>
      </c>
      <c r="AO209" s="250"/>
      <c r="AP209" s="168"/>
      <c r="AQ209" s="168"/>
      <c r="AR209" s="251">
        <f>SUM(AR208:AR208)</f>
        <v>0</v>
      </c>
      <c r="AS209" s="194"/>
      <c r="AT209" s="135"/>
      <c r="AU209" s="174"/>
      <c r="AV209" s="143"/>
      <c r="BK209" s="135"/>
      <c r="BL209" s="149"/>
      <c r="BM209" s="176"/>
      <c r="BN209" s="176"/>
      <c r="BO209" s="176"/>
      <c r="BP209" s="176"/>
      <c r="BQ209" s="176"/>
      <c r="BR209" s="176"/>
      <c r="BS209" s="176"/>
      <c r="BT209" s="135"/>
      <c r="BU209" s="135"/>
      <c r="BV209" s="135"/>
      <c r="BW209" s="135"/>
      <c r="BX209" s="135"/>
    </row>
    <row r="210" spans="15:76" ht="18" customHeight="1" x14ac:dyDescent="0.2">
      <c r="W210" s="143"/>
      <c r="X210" s="232" t="s">
        <v>57</v>
      </c>
      <c r="Y210" s="233"/>
      <c r="Z210" s="234"/>
      <c r="AA210" s="234"/>
      <c r="AB210" s="235">
        <f>SUM(AB207:AB209)</f>
        <v>295.55</v>
      </c>
      <c r="AC210" s="138">
        <f>+AB210/AB205</f>
        <v>7.7517854941550154E-2</v>
      </c>
      <c r="AD210" s="149"/>
      <c r="AE210" s="174"/>
      <c r="AF210" s="305" t="s">
        <v>50</v>
      </c>
      <c r="AG210" s="306" t="s">
        <v>28</v>
      </c>
      <c r="AH210" s="307">
        <v>0.03</v>
      </c>
      <c r="AI210" s="308">
        <v>4215.1699999999992</v>
      </c>
      <c r="AJ210" s="215">
        <f t="shared" si="39"/>
        <v>126.46</v>
      </c>
      <c r="AK210" s="300"/>
      <c r="AL210" s="143"/>
      <c r="AM210" s="143"/>
      <c r="AN210" s="253" t="s">
        <v>63</v>
      </c>
      <c r="AO210" s="233"/>
      <c r="AP210" s="254" t="s">
        <v>64</v>
      </c>
      <c r="AQ210" s="255"/>
      <c r="AR210" s="256">
        <f>+AR201+AR206+AR209</f>
        <v>6332.76</v>
      </c>
      <c r="AS210" s="140"/>
      <c r="AT210" s="135"/>
      <c r="AU210" s="174"/>
      <c r="AV210" s="143"/>
      <c r="BK210" s="135"/>
      <c r="BL210" s="149"/>
      <c r="BM210" s="176"/>
      <c r="BN210" s="176"/>
      <c r="BO210" s="176"/>
      <c r="BP210" s="176"/>
      <c r="BQ210" s="176"/>
      <c r="BR210" s="176"/>
      <c r="BS210" s="176"/>
      <c r="BT210" s="135"/>
      <c r="BU210" s="135"/>
      <c r="BV210" s="135"/>
      <c r="BW210" s="135"/>
      <c r="BX210" s="135"/>
    </row>
    <row r="211" spans="15:76" ht="18" customHeight="1" x14ac:dyDescent="0.2">
      <c r="W211" s="143"/>
      <c r="X211" s="197" t="s">
        <v>58</v>
      </c>
      <c r="Y211" s="198"/>
      <c r="Z211" s="199"/>
      <c r="AA211" s="199"/>
      <c r="AB211" s="200"/>
      <c r="AC211" s="153"/>
      <c r="AE211" s="174"/>
      <c r="AF211" s="309" t="s">
        <v>51</v>
      </c>
      <c r="AG211" s="310"/>
      <c r="AH211" s="311"/>
      <c r="AI211" s="311"/>
      <c r="AJ211" s="312">
        <f>SUM(AJ207:AJ210)</f>
        <v>4341.6299999999992</v>
      </c>
      <c r="AK211" s="312"/>
      <c r="AL211" s="143"/>
      <c r="AM211" s="143"/>
      <c r="AN211" s="152"/>
      <c r="AO211" s="148"/>
      <c r="AP211" s="206"/>
      <c r="AQ211" s="194"/>
      <c r="AR211" s="144"/>
      <c r="AS211" s="194"/>
      <c r="AT211" s="135"/>
      <c r="AU211" s="174"/>
      <c r="AV211" s="143"/>
      <c r="BK211" s="135"/>
      <c r="BL211" s="149"/>
      <c r="BM211" s="149"/>
      <c r="BN211" s="136"/>
      <c r="BO211" s="136"/>
      <c r="BP211" s="176"/>
      <c r="BQ211" s="176"/>
      <c r="BR211" s="176"/>
      <c r="BS211" s="176"/>
      <c r="BT211" s="135"/>
      <c r="BU211" s="135"/>
      <c r="BV211" s="135"/>
      <c r="BW211" s="135"/>
      <c r="BX211" s="135"/>
    </row>
    <row r="212" spans="15:76" ht="18" customHeight="1" x14ac:dyDescent="0.2">
      <c r="W212" s="143"/>
      <c r="X212" s="252" t="s">
        <v>59</v>
      </c>
      <c r="Y212" s="213" t="s">
        <v>60</v>
      </c>
      <c r="Z212" s="226">
        <v>5.5</v>
      </c>
      <c r="AA212" s="226">
        <v>1.9600688000000004</v>
      </c>
      <c r="AB212" s="215">
        <f>+ROUND(Z212*AA212,2)</f>
        <v>10.78</v>
      </c>
      <c r="AC212" s="194"/>
      <c r="AE212" s="174"/>
      <c r="AF212" s="296" t="s">
        <v>53</v>
      </c>
      <c r="AG212" s="297"/>
      <c r="AH212" s="298"/>
      <c r="AI212" s="298"/>
      <c r="AJ212" s="299"/>
      <c r="AK212" s="313"/>
      <c r="AL212" s="143"/>
      <c r="AM212" s="143"/>
      <c r="AN212" s="155" t="s">
        <v>399</v>
      </c>
      <c r="AO212" s="169"/>
      <c r="AP212" s="172"/>
      <c r="AQ212" s="172"/>
      <c r="AR212" s="173"/>
      <c r="AS212" s="154"/>
      <c r="AT212" s="154"/>
      <c r="AU212" s="135"/>
      <c r="AV212" s="143"/>
      <c r="BK212" s="135"/>
      <c r="BL212" s="149"/>
      <c r="BM212" s="149"/>
      <c r="BN212" s="136"/>
      <c r="BO212" s="136"/>
      <c r="BP212" s="176"/>
      <c r="BQ212" s="176"/>
      <c r="BR212" s="176"/>
      <c r="BS212" s="176"/>
      <c r="BT212" s="135"/>
      <c r="BU212" s="135"/>
      <c r="BV212" s="135"/>
      <c r="BW212" s="135"/>
      <c r="BX212" s="135"/>
    </row>
    <row r="213" spans="15:76" ht="18" customHeight="1" x14ac:dyDescent="0.2">
      <c r="W213" s="143"/>
      <c r="X213" s="202" t="s">
        <v>62</v>
      </c>
      <c r="Y213" s="250"/>
      <c r="Z213" s="168"/>
      <c r="AA213" s="168"/>
      <c r="AB213" s="251">
        <f>SUM(AB212:AB212)</f>
        <v>10.78</v>
      </c>
      <c r="AC213" s="194"/>
      <c r="AD213" s="135"/>
      <c r="AE213" s="174"/>
      <c r="AF213" s="305" t="s">
        <v>54</v>
      </c>
      <c r="AG213" s="306" t="s">
        <v>55</v>
      </c>
      <c r="AH213" s="307">
        <v>0.5</v>
      </c>
      <c r="AI213" s="226">
        <v>1600.8</v>
      </c>
      <c r="AJ213" s="215">
        <f>+ROUND(AH213*AI213,2)</f>
        <v>800.4</v>
      </c>
      <c r="AK213" s="314"/>
      <c r="AL213" s="143"/>
      <c r="AM213" s="143"/>
      <c r="AN213" s="177" t="s">
        <v>400</v>
      </c>
      <c r="AO213" s="150"/>
      <c r="AP213" s="178"/>
      <c r="AQ213" s="149"/>
      <c r="AR213" s="179" t="str">
        <f>$G$73</f>
        <v>Un</v>
      </c>
      <c r="AS213" s="180">
        <f>$H$73</f>
        <v>3</v>
      </c>
      <c r="AT213" s="180"/>
      <c r="AU213" s="135"/>
      <c r="AV213" s="143"/>
      <c r="BK213" s="135"/>
      <c r="BL213" s="149"/>
      <c r="BM213" s="149"/>
      <c r="BN213" s="136"/>
      <c r="BO213" s="136"/>
      <c r="BP213" s="176"/>
      <c r="BQ213" s="176"/>
      <c r="BR213" s="176"/>
      <c r="BS213" s="176"/>
      <c r="BT213" s="135"/>
      <c r="BU213" s="135"/>
      <c r="BV213" s="135"/>
      <c r="BW213" s="135"/>
      <c r="BX213" s="135"/>
    </row>
    <row r="214" spans="15:76" ht="18" customHeight="1" thickBot="1" x14ac:dyDescent="0.25">
      <c r="W214" s="143"/>
      <c r="X214" s="253" t="s">
        <v>63</v>
      </c>
      <c r="Y214" s="233"/>
      <c r="Z214" s="254" t="s">
        <v>64</v>
      </c>
      <c r="AA214" s="255"/>
      <c r="AB214" s="256">
        <f>+AB205+AB210+AB213</f>
        <v>4118.9999999999991</v>
      </c>
      <c r="AC214" s="194"/>
      <c r="AD214" s="135"/>
      <c r="AE214" s="174"/>
      <c r="AF214" s="305" t="s">
        <v>56</v>
      </c>
      <c r="AG214" s="306" t="s">
        <v>55</v>
      </c>
      <c r="AH214" s="307">
        <v>0.5</v>
      </c>
      <c r="AI214" s="226">
        <v>1354.6999999999998</v>
      </c>
      <c r="AJ214" s="215">
        <f>+ROUND(AH214*AI214,2)</f>
        <v>677.35</v>
      </c>
      <c r="AK214" s="314"/>
      <c r="AL214" s="143"/>
      <c r="AM214" s="143"/>
      <c r="AN214" s="183"/>
      <c r="AO214" s="184"/>
      <c r="AP214" s="185"/>
      <c r="AQ214" s="185"/>
      <c r="AR214" s="186"/>
      <c r="AU214" s="135"/>
      <c r="AV214" s="143"/>
      <c r="BK214" s="135"/>
      <c r="BL214" s="149"/>
      <c r="BM214" s="149"/>
      <c r="BN214" s="136"/>
      <c r="BO214" s="136"/>
      <c r="BP214" s="176"/>
      <c r="BQ214" s="176"/>
      <c r="BR214" s="176"/>
      <c r="BS214" s="176"/>
      <c r="BT214" s="135"/>
      <c r="BU214" s="135"/>
      <c r="BV214" s="135"/>
      <c r="BW214" s="135"/>
      <c r="BX214" s="135"/>
    </row>
    <row r="215" spans="15:76" ht="18" customHeight="1" thickTop="1" x14ac:dyDescent="0.2">
      <c r="W215" s="143"/>
      <c r="X215" s="152"/>
      <c r="Y215" s="148"/>
      <c r="Z215" s="206"/>
      <c r="AA215" s="194"/>
      <c r="AB215" s="144"/>
      <c r="AC215" s="194"/>
      <c r="AD215" s="135"/>
      <c r="AE215" s="174"/>
      <c r="AF215" s="315"/>
      <c r="AG215" s="316"/>
      <c r="AH215" s="308"/>
      <c r="AI215" s="308"/>
      <c r="AJ215" s="317"/>
      <c r="AK215" s="314"/>
      <c r="AL215" s="143"/>
      <c r="AM215" s="143"/>
      <c r="AN215" s="191" t="s">
        <v>31</v>
      </c>
      <c r="AO215" s="192" t="s">
        <v>32</v>
      </c>
      <c r="AP215" s="192" t="s">
        <v>33</v>
      </c>
      <c r="AQ215" s="192" t="s">
        <v>1</v>
      </c>
      <c r="AR215" s="192" t="s">
        <v>34</v>
      </c>
      <c r="AS215" s="193" t="s">
        <v>76</v>
      </c>
      <c r="AT215" s="153"/>
      <c r="AU215" s="135"/>
      <c r="AV215" s="143"/>
      <c r="BK215" s="135"/>
      <c r="BL215" s="149"/>
      <c r="BM215" s="149"/>
      <c r="BN215" s="136"/>
      <c r="BO215" s="136"/>
      <c r="BQ215" s="176"/>
      <c r="BR215" s="176"/>
      <c r="BS215" s="176"/>
      <c r="BT215" s="135"/>
      <c r="BU215" s="135"/>
      <c r="BV215" s="135"/>
      <c r="BW215" s="135"/>
      <c r="BX215" s="135"/>
    </row>
    <row r="216" spans="15:76" ht="18" customHeight="1" x14ac:dyDescent="0.2">
      <c r="W216" s="143"/>
      <c r="X216" s="155" t="s">
        <v>354</v>
      </c>
      <c r="Y216" s="169"/>
      <c r="Z216" s="172"/>
      <c r="AA216" s="172"/>
      <c r="AB216" s="173"/>
      <c r="AC216" s="154"/>
      <c r="AD216" s="135"/>
      <c r="AE216" s="174"/>
      <c r="AF216" s="309" t="s">
        <v>57</v>
      </c>
      <c r="AG216" s="310"/>
      <c r="AH216" s="311"/>
      <c r="AI216" s="311"/>
      <c r="AJ216" s="235">
        <f>SUM(AJ213:AJ215)</f>
        <v>1477.75</v>
      </c>
      <c r="AK216" s="412"/>
      <c r="AL216" s="143"/>
      <c r="AM216" s="143"/>
      <c r="AN216" s="197" t="s">
        <v>37</v>
      </c>
      <c r="AO216" s="198"/>
      <c r="AP216" s="199"/>
      <c r="AQ216" s="199"/>
      <c r="AR216" s="200"/>
      <c r="AS216" s="201"/>
      <c r="AT216" s="194"/>
      <c r="AU216" s="135"/>
      <c r="AV216" s="143"/>
      <c r="BK216" s="135"/>
      <c r="BL216" s="149"/>
      <c r="BM216" s="149"/>
      <c r="BN216" s="136"/>
      <c r="BO216" s="136"/>
      <c r="BQ216" s="176"/>
      <c r="BR216" s="176"/>
      <c r="BS216" s="176"/>
      <c r="BT216" s="135"/>
      <c r="BU216" s="135"/>
      <c r="BV216" s="135"/>
      <c r="BW216" s="135"/>
      <c r="BX216" s="135"/>
    </row>
    <row r="217" spans="15:76" ht="18" customHeight="1" x14ac:dyDescent="0.2">
      <c r="W217" s="143"/>
      <c r="X217" s="177" t="s">
        <v>366</v>
      </c>
      <c r="Y217" s="150"/>
      <c r="Z217" s="178"/>
      <c r="AA217" s="149"/>
      <c r="AB217" s="179" t="str">
        <f>$G$38</f>
        <v>ml</v>
      </c>
      <c r="AC217" s="180">
        <f>$H$38</f>
        <v>280.5</v>
      </c>
      <c r="AD217" s="163"/>
      <c r="AE217" s="174"/>
      <c r="AF217" s="296" t="s">
        <v>58</v>
      </c>
      <c r="AG217" s="297"/>
      <c r="AH217" s="298"/>
      <c r="AI217" s="298"/>
      <c r="AJ217" s="299"/>
      <c r="AK217" s="318"/>
      <c r="AL217" s="143"/>
      <c r="AM217" s="143"/>
      <c r="AN217" s="216" t="s">
        <v>400</v>
      </c>
      <c r="AO217" s="213" t="s">
        <v>49</v>
      </c>
      <c r="AP217" s="214">
        <v>1</v>
      </c>
      <c r="AQ217" s="214">
        <v>421400</v>
      </c>
      <c r="AR217" s="215">
        <f>+ROUND(AP217*AQ217,2)</f>
        <v>421400</v>
      </c>
      <c r="AS217" s="201"/>
      <c r="AT217" s="194"/>
      <c r="AU217" s="135"/>
      <c r="AV217" s="143"/>
      <c r="BK217" s="135"/>
      <c r="BL217" s="149"/>
      <c r="BM217" s="149"/>
      <c r="BN217" s="136"/>
      <c r="BO217" s="136"/>
      <c r="BQ217" s="176"/>
      <c r="BR217" s="176"/>
      <c r="BS217" s="176"/>
      <c r="BT217" s="135"/>
      <c r="BU217" s="135"/>
      <c r="BV217" s="135"/>
      <c r="BW217" s="135"/>
      <c r="BX217" s="135"/>
    </row>
    <row r="218" spans="15:76" ht="18" customHeight="1" thickBot="1" x14ac:dyDescent="0.25">
      <c r="W218" s="143"/>
      <c r="X218" s="183"/>
      <c r="Y218" s="184"/>
      <c r="Z218" s="185"/>
      <c r="AA218" s="185"/>
      <c r="AB218" s="186"/>
      <c r="AD218" s="145"/>
      <c r="AE218" s="174"/>
      <c r="AF218" s="319" t="s">
        <v>59</v>
      </c>
      <c r="AG218" s="302" t="s">
        <v>60</v>
      </c>
      <c r="AH218" s="307">
        <v>6.9</v>
      </c>
      <c r="AI218" s="226">
        <v>1.9600688000000004</v>
      </c>
      <c r="AJ218" s="215">
        <f>+ROUND(AH218*AI218,2)</f>
        <v>13.52</v>
      </c>
      <c r="AK218" s="314"/>
      <c r="AL218" s="143"/>
      <c r="AM218" s="143"/>
      <c r="AN218" s="216" t="s">
        <v>323</v>
      </c>
      <c r="AO218" s="213" t="s">
        <v>28</v>
      </c>
      <c r="AP218" s="214">
        <v>1</v>
      </c>
      <c r="AQ218" s="214">
        <v>12642</v>
      </c>
      <c r="AR218" s="215">
        <f>+ROUND(AP218*AQ218,2)</f>
        <v>12642</v>
      </c>
      <c r="AS218" s="201"/>
      <c r="AT218" s="194"/>
      <c r="AU218" s="135"/>
      <c r="AV218" s="143"/>
      <c r="BK218" s="135"/>
      <c r="BL218" s="149"/>
      <c r="BM218" s="149"/>
      <c r="BN218" s="136"/>
      <c r="BO218" s="136"/>
      <c r="BQ218" s="176"/>
      <c r="BR218" s="176"/>
      <c r="BS218" s="176"/>
      <c r="BT218" s="135"/>
      <c r="BU218" s="135"/>
      <c r="BV218" s="135"/>
      <c r="BW218" s="135"/>
      <c r="BX218" s="135"/>
    </row>
    <row r="219" spans="15:76" ht="18" customHeight="1" thickTop="1" x14ac:dyDescent="0.2">
      <c r="W219" s="143"/>
      <c r="X219" s="191" t="s">
        <v>31</v>
      </c>
      <c r="Y219" s="192" t="s">
        <v>32</v>
      </c>
      <c r="Z219" s="192" t="s">
        <v>33</v>
      </c>
      <c r="AA219" s="192" t="s">
        <v>1</v>
      </c>
      <c r="AB219" s="192" t="s">
        <v>34</v>
      </c>
      <c r="AC219" s="193" t="s">
        <v>76</v>
      </c>
      <c r="AD219" s="153"/>
      <c r="AE219" s="174"/>
      <c r="AF219" s="320" t="s">
        <v>62</v>
      </c>
      <c r="AG219" s="321"/>
      <c r="AH219" s="322"/>
      <c r="AI219" s="322"/>
      <c r="AJ219" s="251">
        <f>SUM(AJ218:AJ218)</f>
        <v>13.52</v>
      </c>
      <c r="AK219" s="314"/>
      <c r="AL219" s="143"/>
      <c r="AM219" s="143"/>
      <c r="AN219" s="224" t="s">
        <v>50</v>
      </c>
      <c r="AO219" s="225" t="s">
        <v>28</v>
      </c>
      <c r="AP219" s="226">
        <v>0.03</v>
      </c>
      <c r="AQ219" s="219">
        <v>434042</v>
      </c>
      <c r="AR219" s="215">
        <f>+ROUND(AP219*AQ219,2)</f>
        <v>13021.26</v>
      </c>
      <c r="AS219" s="201"/>
      <c r="AT219" s="194"/>
      <c r="AU219" s="135"/>
      <c r="AV219" s="143"/>
      <c r="BK219" s="135"/>
      <c r="BL219" s="149"/>
      <c r="BM219" s="149"/>
      <c r="BN219" s="136"/>
      <c r="BO219" s="136"/>
      <c r="BQ219" s="176"/>
      <c r="BR219" s="176"/>
      <c r="BS219" s="176"/>
      <c r="BT219" s="135"/>
      <c r="BU219" s="135"/>
      <c r="BV219" s="135"/>
      <c r="BW219" s="135"/>
      <c r="BX219" s="135"/>
    </row>
    <row r="220" spans="15:76" ht="18" customHeight="1" x14ac:dyDescent="0.2">
      <c r="W220" s="143"/>
      <c r="X220" s="197" t="s">
        <v>37</v>
      </c>
      <c r="Y220" s="198"/>
      <c r="Z220" s="199"/>
      <c r="AA220" s="199"/>
      <c r="AB220" s="200"/>
      <c r="AC220" s="201"/>
      <c r="AD220" s="153"/>
      <c r="AE220" s="174"/>
      <c r="AF220" s="323" t="s">
        <v>227</v>
      </c>
      <c r="AG220" s="310"/>
      <c r="AH220" s="324" t="s">
        <v>64</v>
      </c>
      <c r="AI220" s="325"/>
      <c r="AJ220" s="256">
        <f>+AJ211+AJ216+AJ219</f>
        <v>5832.9</v>
      </c>
      <c r="AK220" s="314"/>
      <c r="AL220" s="174"/>
      <c r="AM220" s="174"/>
      <c r="AN220" s="232" t="s">
        <v>51</v>
      </c>
      <c r="AO220" s="233"/>
      <c r="AP220" s="234"/>
      <c r="AQ220" s="234"/>
      <c r="AR220" s="235">
        <f>SUM(AR217:AR219)</f>
        <v>447063.26</v>
      </c>
      <c r="AS220" s="235"/>
      <c r="AU220" s="135"/>
      <c r="AV220" s="143"/>
      <c r="BK220" s="135"/>
      <c r="BL220" s="149"/>
      <c r="BM220" s="149"/>
      <c r="BN220" s="136"/>
      <c r="BO220" s="136"/>
      <c r="BQ220" s="176"/>
      <c r="BR220" s="176"/>
      <c r="BS220" s="176"/>
      <c r="BT220" s="135"/>
      <c r="BU220" s="135"/>
      <c r="BV220" s="135"/>
      <c r="BW220" s="135"/>
      <c r="BX220" s="135"/>
    </row>
    <row r="221" spans="15:76" ht="18" customHeight="1" x14ac:dyDescent="0.2">
      <c r="O221" s="142"/>
      <c r="W221" s="143"/>
      <c r="X221" s="216" t="s">
        <v>366</v>
      </c>
      <c r="Y221" s="213" t="s">
        <v>68</v>
      </c>
      <c r="Z221" s="214">
        <v>1.1000000000000001</v>
      </c>
      <c r="AA221" s="214">
        <v>3362.1749999999997</v>
      </c>
      <c r="AB221" s="215">
        <f>+ROUND(Z221*AA221,2)</f>
        <v>3698.39</v>
      </c>
      <c r="AC221" s="201"/>
      <c r="AD221" s="176"/>
      <c r="AE221" s="174"/>
      <c r="AF221" s="356"/>
      <c r="AG221" s="327"/>
      <c r="AH221" s="328"/>
      <c r="AI221" s="314"/>
      <c r="AJ221" s="329"/>
      <c r="AK221" s="314"/>
      <c r="AL221" s="143"/>
      <c r="AM221" s="143"/>
      <c r="AN221" s="197" t="s">
        <v>53</v>
      </c>
      <c r="AO221" s="198"/>
      <c r="AP221" s="199"/>
      <c r="AQ221" s="199"/>
      <c r="AR221" s="200"/>
      <c r="AS221" s="153"/>
      <c r="AT221" s="153"/>
      <c r="AU221" s="135"/>
      <c r="AV221" s="143"/>
      <c r="BK221" s="136"/>
      <c r="BL221" s="149"/>
      <c r="BM221" s="149"/>
      <c r="BN221" s="136"/>
      <c r="BO221" s="136"/>
      <c r="BQ221" s="176"/>
      <c r="BR221" s="176"/>
      <c r="BS221" s="176"/>
      <c r="BT221" s="135"/>
      <c r="BU221" s="135"/>
      <c r="BV221" s="135"/>
      <c r="BW221" s="135"/>
      <c r="BX221" s="135"/>
    </row>
    <row r="222" spans="15:76" ht="18" customHeight="1" x14ac:dyDescent="0.2">
      <c r="W222" s="143"/>
      <c r="X222" s="216" t="s">
        <v>260</v>
      </c>
      <c r="Y222" s="213" t="s">
        <v>28</v>
      </c>
      <c r="Z222" s="214">
        <v>1</v>
      </c>
      <c r="AA222" s="214">
        <v>110.95169999999999</v>
      </c>
      <c r="AB222" s="215">
        <f>+ROUND(Z222*AA222,2)</f>
        <v>110.95</v>
      </c>
      <c r="AC222" s="201"/>
      <c r="AD222" s="176"/>
      <c r="AE222" s="174"/>
      <c r="AF222" s="155" t="s">
        <v>381</v>
      </c>
      <c r="AG222" s="169"/>
      <c r="AH222" s="172"/>
      <c r="AI222" s="172"/>
      <c r="AJ222" s="173"/>
      <c r="AK222" s="154"/>
      <c r="AL222" s="143"/>
      <c r="AM222" s="143"/>
      <c r="AN222" s="224" t="s">
        <v>54</v>
      </c>
      <c r="AO222" s="225" t="s">
        <v>55</v>
      </c>
      <c r="AP222" s="226">
        <v>4</v>
      </c>
      <c r="AQ222" s="226">
        <v>1600.8</v>
      </c>
      <c r="AR222" s="215">
        <f>+ROUND(AP222*AQ222,2)</f>
        <v>6403.2</v>
      </c>
      <c r="AS222" s="194"/>
      <c r="AT222" s="194"/>
      <c r="AU222" s="135"/>
      <c r="AV222" s="143"/>
      <c r="BK222" s="136"/>
      <c r="BL222" s="149"/>
      <c r="BM222" s="149"/>
      <c r="BN222" s="136"/>
      <c r="BO222" s="136"/>
      <c r="BQ222" s="176"/>
      <c r="BR222" s="176"/>
      <c r="BS222" s="176"/>
      <c r="BT222" s="135"/>
      <c r="BU222" s="135"/>
      <c r="BV222" s="135"/>
      <c r="BW222" s="135"/>
      <c r="BX222" s="135"/>
    </row>
    <row r="223" spans="15:76" ht="18" customHeight="1" x14ac:dyDescent="0.2">
      <c r="W223" s="143"/>
      <c r="X223" s="224" t="s">
        <v>50</v>
      </c>
      <c r="Y223" s="225" t="s">
        <v>28</v>
      </c>
      <c r="Z223" s="226">
        <v>0.03</v>
      </c>
      <c r="AA223" s="219">
        <v>110.95</v>
      </c>
      <c r="AB223" s="223">
        <f>+ROUND(Z223*AA223,2)</f>
        <v>3.33</v>
      </c>
      <c r="AC223" s="201"/>
      <c r="AD223" s="153"/>
      <c r="AE223" s="174"/>
      <c r="AF223" s="177" t="s">
        <v>384</v>
      </c>
      <c r="AG223" s="150"/>
      <c r="AH223" s="178"/>
      <c r="AI223" s="149"/>
      <c r="AJ223" s="179" t="str">
        <f>$G$57</f>
        <v>ml</v>
      </c>
      <c r="AK223" s="180">
        <f>$H$57</f>
        <v>32.200000000000003</v>
      </c>
      <c r="AL223" s="143"/>
      <c r="AM223" s="143"/>
      <c r="AN223" s="224" t="s">
        <v>56</v>
      </c>
      <c r="AO223" s="225" t="s">
        <v>55</v>
      </c>
      <c r="AP223" s="226">
        <v>2</v>
      </c>
      <c r="AQ223" s="226">
        <v>1354.6999999999998</v>
      </c>
      <c r="AR223" s="215">
        <f>+ROUND(AP223*AQ223,2)</f>
        <v>2709.4</v>
      </c>
      <c r="AS223" s="194"/>
      <c r="AT223" s="194"/>
      <c r="AU223" s="135"/>
      <c r="AV223" s="143"/>
      <c r="BK223" s="136"/>
      <c r="BL223" s="149"/>
      <c r="BM223" s="149"/>
      <c r="BN223" s="136"/>
      <c r="BO223" s="136"/>
      <c r="BQ223" s="176"/>
      <c r="BR223" s="176"/>
      <c r="BS223" s="176"/>
      <c r="BT223" s="135"/>
      <c r="BU223" s="135"/>
      <c r="BV223" s="135"/>
      <c r="BW223" s="135"/>
      <c r="BX223" s="135"/>
    </row>
    <row r="224" spans="15:76" ht="18" customHeight="1" thickBot="1" x14ac:dyDescent="0.25">
      <c r="W224" s="143"/>
      <c r="X224" s="232" t="s">
        <v>51</v>
      </c>
      <c r="Y224" s="233"/>
      <c r="Z224" s="234"/>
      <c r="AA224" s="234"/>
      <c r="AB224" s="235">
        <f>SUM(AB221:AB223)</f>
        <v>3812.6699999999996</v>
      </c>
      <c r="AC224" s="235"/>
      <c r="AD224" s="194"/>
      <c r="AE224" s="174"/>
      <c r="AF224" s="347"/>
      <c r="AG224" s="348"/>
      <c r="AH224" s="349"/>
      <c r="AI224" s="349"/>
      <c r="AJ224" s="350"/>
      <c r="AK224" s="412"/>
      <c r="AL224" s="143"/>
      <c r="AM224" s="143"/>
      <c r="AN224" s="248"/>
      <c r="AO224" s="249"/>
      <c r="AP224" s="219"/>
      <c r="AQ224" s="219"/>
      <c r="AR224" s="215"/>
      <c r="AS224" s="194"/>
      <c r="AT224" s="194"/>
      <c r="AU224" s="135"/>
      <c r="AV224" s="143"/>
      <c r="BK224" s="136"/>
      <c r="BL224" s="149"/>
      <c r="BM224" s="149"/>
      <c r="BN224" s="136"/>
      <c r="BO224" s="136"/>
      <c r="BQ224" s="176"/>
      <c r="BR224" s="176"/>
      <c r="BS224" s="176"/>
      <c r="BT224" s="135"/>
      <c r="BU224" s="135"/>
      <c r="BV224" s="135"/>
      <c r="BW224" s="135"/>
      <c r="BX224" s="135"/>
    </row>
    <row r="225" spans="23:78" ht="18" customHeight="1" thickTop="1" x14ac:dyDescent="0.2">
      <c r="W225" s="143"/>
      <c r="X225" s="197" t="s">
        <v>53</v>
      </c>
      <c r="Y225" s="198"/>
      <c r="Z225" s="199"/>
      <c r="AA225" s="199"/>
      <c r="AB225" s="200"/>
      <c r="AC225" s="241"/>
      <c r="AD225" s="194"/>
      <c r="AE225" s="174"/>
      <c r="AF225" s="293" t="s">
        <v>31</v>
      </c>
      <c r="AG225" s="294" t="s">
        <v>32</v>
      </c>
      <c r="AH225" s="294" t="s">
        <v>33</v>
      </c>
      <c r="AI225" s="294" t="s">
        <v>1</v>
      </c>
      <c r="AJ225" s="294" t="s">
        <v>34</v>
      </c>
      <c r="AK225" s="295" t="s">
        <v>76</v>
      </c>
      <c r="AL225" s="143"/>
      <c r="AM225" s="143"/>
      <c r="AN225" s="232" t="s">
        <v>57</v>
      </c>
      <c r="AO225" s="233"/>
      <c r="AP225" s="234"/>
      <c r="AQ225" s="234"/>
      <c r="AR225" s="235">
        <f>SUM(AR222:AR224)</f>
        <v>9112.6</v>
      </c>
      <c r="AS225" s="138">
        <f>+AR225/AR220</f>
        <v>2.0383245091533581E-2</v>
      </c>
      <c r="AU225" s="135"/>
      <c r="AV225" s="361"/>
      <c r="BK225" s="136"/>
      <c r="BL225" s="149"/>
      <c r="BM225" s="149"/>
      <c r="BN225" s="136"/>
      <c r="BO225" s="136"/>
      <c r="BQ225" s="176"/>
      <c r="BR225" s="176"/>
      <c r="BS225" s="176"/>
      <c r="BT225" s="135"/>
      <c r="BU225" s="135"/>
      <c r="BV225" s="135"/>
      <c r="BW225" s="135"/>
      <c r="BX225" s="135"/>
    </row>
    <row r="226" spans="23:78" ht="18" customHeight="1" x14ac:dyDescent="0.2">
      <c r="W226" s="143"/>
      <c r="X226" s="224" t="s">
        <v>54</v>
      </c>
      <c r="Y226" s="225" t="s">
        <v>55</v>
      </c>
      <c r="Z226" s="226">
        <v>0.5</v>
      </c>
      <c r="AA226" s="226">
        <v>1600.8</v>
      </c>
      <c r="AB226" s="215">
        <f>+ROUND(Z226*AA226,2)</f>
        <v>800.4</v>
      </c>
      <c r="AC226" s="194"/>
      <c r="AD226" s="194"/>
      <c r="AE226" s="174"/>
      <c r="AF226" s="296" t="s">
        <v>37</v>
      </c>
      <c r="AG226" s="297"/>
      <c r="AH226" s="298"/>
      <c r="AI226" s="298"/>
      <c r="AJ226" s="299"/>
      <c r="AK226" s="300"/>
      <c r="AL226" s="143"/>
      <c r="AM226" s="143"/>
      <c r="AN226" s="197" t="s">
        <v>58</v>
      </c>
      <c r="AO226" s="198"/>
      <c r="AP226" s="199"/>
      <c r="AQ226" s="199"/>
      <c r="AR226" s="200"/>
      <c r="AS226" s="153"/>
      <c r="AT226" s="153"/>
      <c r="AU226" s="135"/>
      <c r="AV226" s="241"/>
      <c r="BK226" s="136"/>
      <c r="BL226" s="149"/>
      <c r="BM226" s="149"/>
      <c r="BN226" s="136"/>
      <c r="BO226" s="136"/>
      <c r="BQ226" s="176"/>
      <c r="BR226" s="176"/>
      <c r="BS226" s="176"/>
      <c r="BT226" s="135"/>
      <c r="BU226" s="135"/>
      <c r="BV226" s="135"/>
      <c r="BW226" s="135"/>
      <c r="BX226" s="135"/>
    </row>
    <row r="227" spans="23:78" ht="18" customHeight="1" x14ac:dyDescent="0.2">
      <c r="W227" s="143"/>
      <c r="X227" s="224" t="s">
        <v>56</v>
      </c>
      <c r="Y227" s="225" t="s">
        <v>55</v>
      </c>
      <c r="Z227" s="226">
        <v>0.5</v>
      </c>
      <c r="AA227" s="226">
        <v>1354.6999999999998</v>
      </c>
      <c r="AB227" s="215">
        <f>+ROUND(Z227*AA227,2)</f>
        <v>677.35</v>
      </c>
      <c r="AC227" s="194"/>
      <c r="AD227" s="194"/>
      <c r="AE227" s="174"/>
      <c r="AF227" s="301" t="s">
        <v>138</v>
      </c>
      <c r="AG227" s="302" t="s">
        <v>6</v>
      </c>
      <c r="AH227" s="303">
        <v>1.1000000000000001</v>
      </c>
      <c r="AI227" s="303">
        <v>1989</v>
      </c>
      <c r="AJ227" s="215">
        <f>+ROUND(AH227*AI227,2)</f>
        <v>2187.9</v>
      </c>
      <c r="AK227" s="300"/>
      <c r="AL227" s="143"/>
      <c r="AM227" s="143"/>
      <c r="AN227" s="252" t="s">
        <v>59</v>
      </c>
      <c r="AO227" s="213" t="s">
        <v>60</v>
      </c>
      <c r="AP227" s="226">
        <v>250</v>
      </c>
      <c r="AQ227" s="226">
        <v>1.9600688000000004</v>
      </c>
      <c r="AR227" s="215">
        <f>+ROUND(AP227*AQ227,2)</f>
        <v>490.02</v>
      </c>
      <c r="AS227" s="194"/>
      <c r="AT227" s="194"/>
      <c r="AU227" s="135"/>
      <c r="AV227" s="143"/>
      <c r="BK227" s="136"/>
      <c r="BL227" s="149"/>
      <c r="BM227" s="149"/>
      <c r="BN227" s="136"/>
      <c r="BO227" s="136"/>
      <c r="BQ227" s="176"/>
      <c r="BR227" s="176"/>
      <c r="BS227" s="176"/>
      <c r="BT227" s="135"/>
      <c r="BU227" s="135"/>
      <c r="BV227" s="135"/>
      <c r="BW227" s="135"/>
      <c r="BX227" s="135"/>
    </row>
    <row r="228" spans="23:78" ht="18" customHeight="1" x14ac:dyDescent="0.2">
      <c r="W228" s="143"/>
      <c r="X228" s="248"/>
      <c r="Y228" s="249"/>
      <c r="Z228" s="219"/>
      <c r="AA228" s="219"/>
      <c r="AB228" s="215"/>
      <c r="AC228" s="194"/>
      <c r="AE228" s="174"/>
      <c r="AF228" s="301" t="s">
        <v>235</v>
      </c>
      <c r="AG228" s="302" t="s">
        <v>28</v>
      </c>
      <c r="AH228" s="303">
        <v>1</v>
      </c>
      <c r="AI228" s="303">
        <v>328.185</v>
      </c>
      <c r="AJ228" s="215">
        <f t="shared" ref="AJ228:AJ230" si="40">+ROUND(AH228*AI228,2)</f>
        <v>328.19</v>
      </c>
      <c r="AK228" s="300"/>
      <c r="AL228" s="143"/>
      <c r="AM228" s="143"/>
      <c r="AN228" s="202" t="s">
        <v>62</v>
      </c>
      <c r="AO228" s="250"/>
      <c r="AP228" s="168"/>
      <c r="AQ228" s="168"/>
      <c r="AR228" s="251">
        <f>SUM(AR227:AR227)</f>
        <v>490.02</v>
      </c>
      <c r="AS228" s="194"/>
      <c r="AT228" s="194"/>
      <c r="AU228" s="135"/>
      <c r="AV228" s="143"/>
      <c r="BK228" s="136"/>
      <c r="BL228" s="149"/>
      <c r="BM228" s="149"/>
      <c r="BN228" s="136"/>
      <c r="BO228" s="136"/>
      <c r="BQ228" s="176"/>
      <c r="BR228" s="176"/>
      <c r="BS228" s="176"/>
      <c r="BT228" s="135"/>
      <c r="BU228" s="135"/>
      <c r="BV228" s="135"/>
      <c r="BW228" s="135"/>
      <c r="BX228" s="135"/>
    </row>
    <row r="229" spans="23:78" ht="18" customHeight="1" x14ac:dyDescent="0.2">
      <c r="W229" s="143"/>
      <c r="X229" s="232" t="s">
        <v>57</v>
      </c>
      <c r="Y229" s="233"/>
      <c r="Z229" s="234"/>
      <c r="AA229" s="234"/>
      <c r="AB229" s="235">
        <f>SUM(AB226:AB228)</f>
        <v>1477.75</v>
      </c>
      <c r="AD229" s="149"/>
      <c r="AE229" s="174"/>
      <c r="AF229" s="301" t="s">
        <v>236</v>
      </c>
      <c r="AG229" s="302" t="s">
        <v>28</v>
      </c>
      <c r="AH229" s="303">
        <v>0.2</v>
      </c>
      <c r="AI229" s="303">
        <v>108.45365645340799</v>
      </c>
      <c r="AJ229" s="215">
        <f t="shared" si="40"/>
        <v>21.69</v>
      </c>
      <c r="AK229" s="300"/>
      <c r="AL229" s="143"/>
      <c r="AM229" s="143"/>
      <c r="AN229" s="253" t="s">
        <v>63</v>
      </c>
      <c r="AO229" s="233"/>
      <c r="AP229" s="254" t="s">
        <v>64</v>
      </c>
      <c r="AQ229" s="255"/>
      <c r="AR229" s="256">
        <f>+AR220+AR225+AR228</f>
        <v>456665.88</v>
      </c>
      <c r="AS229" s="194"/>
      <c r="AT229" s="194"/>
      <c r="AU229" s="135"/>
      <c r="AV229" s="143"/>
      <c r="BK229" s="136"/>
      <c r="BL229" s="149"/>
      <c r="BM229" s="136"/>
      <c r="BN229" s="136"/>
      <c r="BO229" s="136"/>
      <c r="BQ229" s="176"/>
      <c r="BR229" s="176"/>
      <c r="BS229" s="176"/>
      <c r="BT229" s="135"/>
      <c r="BU229" s="135"/>
      <c r="BV229" s="135"/>
      <c r="BW229" s="135"/>
      <c r="BX229" s="135"/>
    </row>
    <row r="230" spans="23:78" ht="18" customHeight="1" x14ac:dyDescent="0.2">
      <c r="W230" s="143"/>
      <c r="X230" s="197" t="s">
        <v>58</v>
      </c>
      <c r="Y230" s="198"/>
      <c r="Z230" s="199"/>
      <c r="AA230" s="199"/>
      <c r="AB230" s="200"/>
      <c r="AC230" s="153"/>
      <c r="AE230" s="174"/>
      <c r="AF230" s="305" t="s">
        <v>50</v>
      </c>
      <c r="AG230" s="306" t="s">
        <v>28</v>
      </c>
      <c r="AH230" s="307">
        <v>0.03</v>
      </c>
      <c r="AI230" s="308">
        <v>2537.7800000000002</v>
      </c>
      <c r="AJ230" s="215">
        <f t="shared" si="40"/>
        <v>76.13</v>
      </c>
      <c r="AK230" s="300"/>
      <c r="AL230" s="143"/>
      <c r="AM230" s="143"/>
      <c r="AN230" s="152"/>
      <c r="AO230" s="153"/>
      <c r="AP230" s="145"/>
      <c r="AQ230" s="145"/>
      <c r="AR230" s="145"/>
      <c r="AS230" s="154"/>
      <c r="AT230" s="154"/>
      <c r="AU230" s="135"/>
      <c r="AV230" s="143"/>
      <c r="BK230" s="136"/>
      <c r="BL230" s="149"/>
      <c r="BM230" s="136"/>
      <c r="BN230" s="136"/>
      <c r="BO230" s="136"/>
      <c r="BQ230" s="176"/>
      <c r="BR230" s="176"/>
      <c r="BS230" s="176"/>
      <c r="BT230" s="135"/>
      <c r="BU230" s="135"/>
      <c r="BV230" s="135"/>
      <c r="BW230" s="135"/>
      <c r="BX230" s="135"/>
    </row>
    <row r="231" spans="23:78" ht="18" customHeight="1" x14ac:dyDescent="0.2">
      <c r="W231" s="143"/>
      <c r="X231" s="252" t="s">
        <v>59</v>
      </c>
      <c r="Y231" s="213" t="s">
        <v>60</v>
      </c>
      <c r="Z231" s="226">
        <v>5.5</v>
      </c>
      <c r="AA231" s="226">
        <v>1.9600688000000004</v>
      </c>
      <c r="AB231" s="215">
        <f>+ROUND(Z231*AA231,2)</f>
        <v>10.78</v>
      </c>
      <c r="AC231" s="194"/>
      <c r="AE231" s="174"/>
      <c r="AF231" s="309" t="s">
        <v>51</v>
      </c>
      <c r="AG231" s="310"/>
      <c r="AH231" s="311"/>
      <c r="AI231" s="311"/>
      <c r="AJ231" s="312">
        <f>SUM(AJ227:AJ230)</f>
        <v>2613.9100000000003</v>
      </c>
      <c r="AK231" s="312"/>
      <c r="AL231" s="143"/>
      <c r="AM231" s="143"/>
      <c r="AN231" s="155" t="s">
        <v>399</v>
      </c>
      <c r="AO231" s="169"/>
      <c r="AP231" s="172"/>
      <c r="AQ231" s="172"/>
      <c r="AR231" s="173"/>
      <c r="AS231" s="154"/>
      <c r="AT231" s="154"/>
      <c r="AU231" s="135"/>
      <c r="AV231" s="143"/>
      <c r="BK231" s="136"/>
      <c r="BL231" s="149"/>
      <c r="BM231" s="149"/>
      <c r="BN231" s="136"/>
      <c r="BO231" s="136"/>
      <c r="BQ231" s="176"/>
      <c r="BR231" s="176"/>
      <c r="BS231" s="176"/>
      <c r="BT231" s="135"/>
      <c r="BU231" s="135"/>
      <c r="BV231" s="135"/>
      <c r="BW231" s="135"/>
      <c r="BX231" s="135"/>
    </row>
    <row r="232" spans="23:78" ht="18" customHeight="1" x14ac:dyDescent="0.2">
      <c r="W232" s="143"/>
      <c r="X232" s="202" t="s">
        <v>62</v>
      </c>
      <c r="Y232" s="250"/>
      <c r="Z232" s="168"/>
      <c r="AA232" s="168"/>
      <c r="AB232" s="251">
        <f>SUM(AB231:AB231)</f>
        <v>10.78</v>
      </c>
      <c r="AC232" s="194"/>
      <c r="AD232" s="135"/>
      <c r="AE232" s="174"/>
      <c r="AF232" s="296" t="s">
        <v>53</v>
      </c>
      <c r="AG232" s="297"/>
      <c r="AH232" s="298"/>
      <c r="AI232" s="298"/>
      <c r="AJ232" s="299"/>
      <c r="AK232" s="313"/>
      <c r="AL232" s="143"/>
      <c r="AM232" s="143"/>
      <c r="AN232" s="177" t="s">
        <v>401</v>
      </c>
      <c r="AO232" s="150"/>
      <c r="AP232" s="178"/>
      <c r="AQ232" s="149"/>
      <c r="AR232" s="179" t="str">
        <f>$G$74</f>
        <v>Un</v>
      </c>
      <c r="AS232" s="180">
        <f>$H$74</f>
        <v>3</v>
      </c>
      <c r="AT232" s="180"/>
      <c r="AU232" s="135"/>
      <c r="AV232" s="143"/>
      <c r="BK232" s="136"/>
      <c r="BL232" s="149"/>
      <c r="BM232" s="149"/>
      <c r="BN232" s="136"/>
      <c r="BO232" s="136"/>
      <c r="BQ232" s="176"/>
      <c r="BR232" s="176"/>
      <c r="BS232" s="176"/>
      <c r="BT232" s="135"/>
      <c r="BU232" s="135"/>
      <c r="BV232" s="135"/>
      <c r="BW232" s="135"/>
      <c r="BX232" s="135"/>
    </row>
    <row r="233" spans="23:78" ht="18" customHeight="1" thickBot="1" x14ac:dyDescent="0.25">
      <c r="W233" s="143"/>
      <c r="X233" s="253" t="s">
        <v>63</v>
      </c>
      <c r="Y233" s="233"/>
      <c r="Z233" s="254" t="s">
        <v>64</v>
      </c>
      <c r="AA233" s="255"/>
      <c r="AB233" s="256">
        <f>+AB224+AB229+AB232</f>
        <v>5301.2</v>
      </c>
      <c r="AC233" s="194"/>
      <c r="AD233" s="135"/>
      <c r="AE233" s="174"/>
      <c r="AF233" s="305" t="s">
        <v>54</v>
      </c>
      <c r="AG233" s="306" t="s">
        <v>55</v>
      </c>
      <c r="AH233" s="307">
        <v>0.5</v>
      </c>
      <c r="AI233" s="226">
        <v>1600.8</v>
      </c>
      <c r="AJ233" s="215">
        <f>+ROUND(AH233*AI233,2)</f>
        <v>800.4</v>
      </c>
      <c r="AK233" s="314"/>
      <c r="AL233" s="143"/>
      <c r="AM233" s="143"/>
      <c r="AN233" s="183"/>
      <c r="AO233" s="184"/>
      <c r="AP233" s="185"/>
      <c r="AQ233" s="185"/>
      <c r="AR233" s="186"/>
      <c r="AU233" s="135"/>
      <c r="AV233" s="143"/>
      <c r="BK233" s="136"/>
      <c r="BL233" s="149"/>
      <c r="BM233" s="149"/>
      <c r="BN233" s="136"/>
      <c r="BO233" s="136"/>
      <c r="BP233" s="176"/>
      <c r="BQ233" s="176"/>
      <c r="BR233" s="176"/>
      <c r="BS233" s="176"/>
      <c r="BT233" s="135"/>
      <c r="BU233" s="135"/>
      <c r="BV233" s="135"/>
      <c r="BW233" s="135"/>
      <c r="BX233" s="135"/>
    </row>
    <row r="234" spans="23:78" ht="18" customHeight="1" thickTop="1" x14ac:dyDescent="0.2">
      <c r="W234" s="143"/>
      <c r="AF234" s="305" t="s">
        <v>56</v>
      </c>
      <c r="AG234" s="306" t="s">
        <v>55</v>
      </c>
      <c r="AH234" s="307">
        <v>0.5</v>
      </c>
      <c r="AI234" s="226">
        <v>1354.6999999999998</v>
      </c>
      <c r="AJ234" s="215">
        <f>+ROUND(AH234*AI234,2)</f>
        <v>677.35</v>
      </c>
      <c r="AK234" s="314"/>
      <c r="AL234" s="143"/>
      <c r="AM234" s="143"/>
      <c r="AN234" s="191" t="s">
        <v>31</v>
      </c>
      <c r="AO234" s="192" t="s">
        <v>32</v>
      </c>
      <c r="AP234" s="192" t="s">
        <v>33</v>
      </c>
      <c r="AQ234" s="192" t="s">
        <v>1</v>
      </c>
      <c r="AR234" s="192" t="s">
        <v>34</v>
      </c>
      <c r="AS234" s="193" t="s">
        <v>76</v>
      </c>
      <c r="AT234" s="153"/>
      <c r="AU234" s="135"/>
      <c r="AV234" s="143"/>
      <c r="BK234" s="136"/>
      <c r="BL234" s="149"/>
      <c r="BM234" s="136"/>
      <c r="BN234" s="136"/>
      <c r="BO234" s="136"/>
      <c r="BP234" s="176"/>
      <c r="BQ234" s="176"/>
      <c r="BR234" s="176"/>
      <c r="BS234" s="176"/>
      <c r="BT234" s="135"/>
      <c r="BU234" s="135"/>
      <c r="BV234" s="135"/>
      <c r="BW234" s="135"/>
      <c r="BX234" s="135"/>
    </row>
    <row r="235" spans="23:78" ht="18" customHeight="1" x14ac:dyDescent="0.2">
      <c r="W235" s="143"/>
      <c r="AF235" s="315"/>
      <c r="AG235" s="316"/>
      <c r="AH235" s="308"/>
      <c r="AI235" s="308"/>
      <c r="AJ235" s="317"/>
      <c r="AK235" s="314"/>
      <c r="AL235" s="143"/>
      <c r="AM235" s="143"/>
      <c r="AN235" s="197" t="s">
        <v>37</v>
      </c>
      <c r="AO235" s="198"/>
      <c r="AP235" s="199"/>
      <c r="AQ235" s="199"/>
      <c r="AR235" s="200"/>
      <c r="AS235" s="201"/>
      <c r="AT235" s="194"/>
      <c r="AU235" s="135"/>
      <c r="AV235" s="143"/>
      <c r="BK235" s="136"/>
      <c r="BL235" s="149"/>
      <c r="BM235" s="149"/>
      <c r="BN235" s="136"/>
      <c r="BO235" s="136"/>
      <c r="BQ235" s="176"/>
      <c r="BR235" s="176"/>
      <c r="BS235" s="176"/>
      <c r="BT235" s="135"/>
      <c r="BU235" s="135"/>
      <c r="BV235" s="135"/>
      <c r="BW235" s="135"/>
      <c r="BX235" s="135"/>
    </row>
    <row r="236" spans="23:78" ht="18" customHeight="1" x14ac:dyDescent="0.2">
      <c r="W236" s="143"/>
      <c r="AF236" s="309" t="s">
        <v>57</v>
      </c>
      <c r="AG236" s="310"/>
      <c r="AH236" s="311"/>
      <c r="AI236" s="311"/>
      <c r="AJ236" s="235">
        <f>SUM(AJ233:AJ235)</f>
        <v>1477.75</v>
      </c>
      <c r="AK236" s="412"/>
      <c r="AL236" s="143"/>
      <c r="AM236" s="143"/>
      <c r="AN236" s="216" t="s">
        <v>401</v>
      </c>
      <c r="AO236" s="213" t="s">
        <v>28</v>
      </c>
      <c r="AP236" s="214">
        <v>1</v>
      </c>
      <c r="AQ236" s="214">
        <v>120776</v>
      </c>
      <c r="AR236" s="215">
        <f>+ROUND(AP236*AQ236,2)</f>
        <v>120776</v>
      </c>
      <c r="AS236" s="201"/>
      <c r="AT236" s="194"/>
      <c r="AU236" s="135"/>
      <c r="AV236" s="143"/>
      <c r="BK236" s="136"/>
      <c r="BL236" s="149"/>
      <c r="BM236" s="149"/>
      <c r="BN236" s="136"/>
      <c r="BO236" s="136"/>
      <c r="BQ236" s="176"/>
      <c r="BR236" s="176"/>
      <c r="BS236" s="176"/>
      <c r="BT236" s="135"/>
      <c r="BU236" s="135"/>
      <c r="BV236" s="135"/>
      <c r="BW236" s="135"/>
      <c r="BX236" s="135"/>
    </row>
    <row r="237" spans="23:78" ht="18" customHeight="1" x14ac:dyDescent="0.2">
      <c r="W237" s="143"/>
      <c r="AF237" s="296" t="s">
        <v>58</v>
      </c>
      <c r="AG237" s="297"/>
      <c r="AH237" s="298"/>
      <c r="AI237" s="298"/>
      <c r="AJ237" s="299"/>
      <c r="AK237" s="318"/>
      <c r="AL237" s="143"/>
      <c r="AM237" s="143"/>
      <c r="AN237" s="216" t="s">
        <v>323</v>
      </c>
      <c r="AO237" s="213" t="s">
        <v>28</v>
      </c>
      <c r="AP237" s="214">
        <v>1</v>
      </c>
      <c r="AQ237" s="214">
        <v>3623.2799999999997</v>
      </c>
      <c r="AR237" s="215">
        <f>+ROUND(AP237*AQ237,2)</f>
        <v>3623.28</v>
      </c>
      <c r="AS237" s="201"/>
      <c r="AT237" s="194"/>
      <c r="AU237" s="135"/>
      <c r="AV237" s="143"/>
      <c r="BK237" s="136"/>
      <c r="BL237" s="149"/>
      <c r="BM237" s="149"/>
      <c r="BN237" s="136"/>
      <c r="BO237" s="136"/>
      <c r="BQ237" s="176"/>
      <c r="BR237" s="176"/>
      <c r="BS237" s="176"/>
      <c r="BT237" s="135"/>
      <c r="BU237" s="135"/>
      <c r="BV237" s="135"/>
      <c r="BW237" s="135"/>
      <c r="BX237" s="135"/>
    </row>
    <row r="238" spans="23:78" ht="18" customHeight="1" x14ac:dyDescent="0.2">
      <c r="W238" s="143"/>
      <c r="AF238" s="319" t="s">
        <v>59</v>
      </c>
      <c r="AG238" s="302" t="s">
        <v>60</v>
      </c>
      <c r="AH238" s="307">
        <v>6.9</v>
      </c>
      <c r="AI238" s="226">
        <v>1.9600688000000004</v>
      </c>
      <c r="AJ238" s="215">
        <f>+ROUND(AH238*AI238,2)</f>
        <v>13.52</v>
      </c>
      <c r="AK238" s="314"/>
      <c r="AL238" s="143"/>
      <c r="AM238" s="143"/>
      <c r="AN238" s="224" t="s">
        <v>50</v>
      </c>
      <c r="AO238" s="225" t="s">
        <v>28</v>
      </c>
      <c r="AP238" s="226">
        <v>0.03</v>
      </c>
      <c r="AQ238" s="219">
        <v>124399.28</v>
      </c>
      <c r="AR238" s="215">
        <f>+ROUND(AP238*AQ238,2)</f>
        <v>3731.98</v>
      </c>
      <c r="AS238" s="201"/>
      <c r="AT238" s="194"/>
      <c r="AU238" s="135"/>
      <c r="AV238" s="143"/>
      <c r="BK238" s="136"/>
      <c r="BL238" s="149"/>
      <c r="BM238" s="149"/>
      <c r="BN238" s="136"/>
      <c r="BO238" s="136"/>
      <c r="BP238" s="176"/>
      <c r="BQ238" s="176"/>
      <c r="BR238" s="176"/>
      <c r="BS238" s="176"/>
      <c r="BT238" s="135"/>
      <c r="BU238" s="135"/>
      <c r="BV238" s="135"/>
      <c r="BW238" s="135"/>
      <c r="BX238" s="135"/>
    </row>
    <row r="239" spans="23:78" ht="18" customHeight="1" x14ac:dyDescent="0.2">
      <c r="W239" s="143"/>
      <c r="AF239" s="320" t="s">
        <v>62</v>
      </c>
      <c r="AG239" s="321"/>
      <c r="AH239" s="322"/>
      <c r="AI239" s="322"/>
      <c r="AJ239" s="251">
        <f>SUM(AJ238:AJ238)</f>
        <v>13.52</v>
      </c>
      <c r="AK239" s="314"/>
      <c r="AL239" s="143"/>
      <c r="AM239" s="143"/>
      <c r="AN239" s="232" t="s">
        <v>51</v>
      </c>
      <c r="AO239" s="233"/>
      <c r="AP239" s="234"/>
      <c r="AQ239" s="234"/>
      <c r="AR239" s="235">
        <f>SUM(AR236:AR238)</f>
        <v>128131.26</v>
      </c>
      <c r="AS239" s="235"/>
      <c r="AU239" s="135"/>
      <c r="AV239" s="143"/>
      <c r="BK239" s="136"/>
      <c r="BL239" s="149"/>
      <c r="BM239" s="149"/>
      <c r="BN239" s="136"/>
      <c r="BO239" s="136"/>
      <c r="BQ239" s="176"/>
      <c r="BR239" s="176"/>
      <c r="BS239" s="176"/>
      <c r="BT239" s="135"/>
      <c r="BU239" s="135"/>
      <c r="BV239" s="135"/>
      <c r="BW239" s="135"/>
      <c r="BX239" s="135"/>
    </row>
    <row r="240" spans="23:78" ht="18" customHeight="1" x14ac:dyDescent="0.2">
      <c r="AF240" s="323" t="s">
        <v>227</v>
      </c>
      <c r="AG240" s="310"/>
      <c r="AH240" s="324" t="s">
        <v>64</v>
      </c>
      <c r="AI240" s="325"/>
      <c r="AJ240" s="256">
        <f>+AJ231+AJ236+AJ239</f>
        <v>4105.18</v>
      </c>
      <c r="AK240" s="314"/>
      <c r="AL240" s="174"/>
      <c r="AM240" s="174"/>
      <c r="AN240" s="197" t="s">
        <v>53</v>
      </c>
      <c r="AO240" s="198"/>
      <c r="AP240" s="199"/>
      <c r="AQ240" s="199"/>
      <c r="AR240" s="200"/>
      <c r="AS240" s="153"/>
      <c r="AT240" s="153"/>
      <c r="AU240" s="135"/>
      <c r="AV240" s="143"/>
      <c r="BK240" s="136"/>
      <c r="BL240" s="149"/>
      <c r="BM240" s="149"/>
      <c r="BN240" s="136"/>
      <c r="BO240" s="136"/>
      <c r="BQ240" s="189"/>
      <c r="BR240" s="176"/>
      <c r="BS240" s="176"/>
      <c r="BT240" s="176"/>
      <c r="BU240" s="176"/>
      <c r="BV240" s="176"/>
      <c r="BW240" s="176"/>
      <c r="BX240" s="176"/>
      <c r="BY240" s="176"/>
      <c r="BZ240" s="176"/>
    </row>
    <row r="241" spans="15:78" ht="18" customHeight="1" x14ac:dyDescent="0.2">
      <c r="O241" s="142"/>
      <c r="AF241" s="356"/>
      <c r="AG241" s="327"/>
      <c r="AH241" s="328"/>
      <c r="AI241" s="314"/>
      <c r="AJ241" s="329"/>
      <c r="AK241" s="314"/>
      <c r="AL241" s="143"/>
      <c r="AM241" s="143"/>
      <c r="AN241" s="224" t="s">
        <v>54</v>
      </c>
      <c r="AO241" s="225" t="s">
        <v>55</v>
      </c>
      <c r="AP241" s="226">
        <v>2</v>
      </c>
      <c r="AQ241" s="226">
        <v>1600.8</v>
      </c>
      <c r="AR241" s="215">
        <f>+ROUND(AP241*AQ241,2)</f>
        <v>3201.6</v>
      </c>
      <c r="AS241" s="194"/>
      <c r="AT241" s="194"/>
      <c r="AU241" s="135"/>
      <c r="AV241" s="143"/>
      <c r="BK241" s="136"/>
      <c r="BL241" s="149"/>
      <c r="BM241" s="149"/>
      <c r="BN241" s="136"/>
      <c r="BO241" s="136"/>
      <c r="BQ241" s="189"/>
      <c r="BR241" s="176"/>
      <c r="BS241" s="176"/>
      <c r="BT241" s="176"/>
      <c r="BU241" s="176"/>
      <c r="BV241" s="176"/>
      <c r="BW241" s="176"/>
      <c r="BX241" s="176"/>
      <c r="BY241" s="176"/>
      <c r="BZ241" s="176"/>
    </row>
    <row r="242" spans="15:78" ht="18" customHeight="1" x14ac:dyDescent="0.2">
      <c r="O242" s="142"/>
      <c r="AF242" s="143"/>
      <c r="AG242" s="143"/>
      <c r="AH242" s="143"/>
      <c r="AI242" s="143"/>
      <c r="AJ242" s="143"/>
      <c r="AK242" s="143"/>
      <c r="AL242" s="143"/>
      <c r="AM242" s="143"/>
      <c r="AN242" s="224" t="s">
        <v>56</v>
      </c>
      <c r="AO242" s="225" t="s">
        <v>55</v>
      </c>
      <c r="AP242" s="226">
        <v>2</v>
      </c>
      <c r="AQ242" s="226">
        <v>1354.6999999999998</v>
      </c>
      <c r="AR242" s="215">
        <f>+ROUND(AP242*AQ242,2)</f>
        <v>2709.4</v>
      </c>
      <c r="AS242" s="194"/>
      <c r="AT242" s="194"/>
      <c r="AU242" s="135"/>
      <c r="AV242" s="143"/>
      <c r="BK242" s="136"/>
      <c r="BL242" s="149"/>
      <c r="BM242" s="136"/>
      <c r="BN242" s="136"/>
      <c r="BO242" s="136"/>
      <c r="BQ242" s="147"/>
      <c r="BR242" s="176"/>
      <c r="BS242" s="176"/>
      <c r="BT242" s="176"/>
      <c r="BU242" s="176"/>
      <c r="BV242" s="176"/>
      <c r="BW242" s="176"/>
      <c r="BX242" s="176"/>
      <c r="BY242" s="176"/>
      <c r="BZ242" s="176"/>
    </row>
    <row r="243" spans="15:78" ht="18" customHeight="1" x14ac:dyDescent="0.2">
      <c r="AF243" s="143"/>
      <c r="AG243" s="143"/>
      <c r="AH243" s="143"/>
      <c r="AI243" s="143"/>
      <c r="AJ243" s="143"/>
      <c r="AK243" s="143"/>
      <c r="AL243" s="143"/>
      <c r="AM243" s="143"/>
      <c r="AN243" s="248"/>
      <c r="AO243" s="249"/>
      <c r="AP243" s="219"/>
      <c r="AQ243" s="219"/>
      <c r="AR243" s="215"/>
      <c r="AS243" s="194"/>
      <c r="AT243" s="194"/>
      <c r="AU243" s="135"/>
      <c r="AV243" s="143"/>
      <c r="BK243" s="136"/>
      <c r="BL243" s="149"/>
      <c r="BM243" s="136"/>
      <c r="BN243" s="136"/>
      <c r="BO243" s="136"/>
      <c r="BQ243" s="365"/>
      <c r="BR243" s="176"/>
      <c r="BS243" s="176"/>
      <c r="BT243" s="176"/>
      <c r="BU243" s="176"/>
      <c r="BV243" s="176"/>
      <c r="BW243" s="176"/>
      <c r="BX243" s="176"/>
      <c r="BY243" s="176"/>
      <c r="BZ243" s="176"/>
    </row>
    <row r="244" spans="15:78" ht="18" customHeight="1" x14ac:dyDescent="0.2">
      <c r="AF244" s="143"/>
      <c r="AG244" s="143"/>
      <c r="AH244" s="143"/>
      <c r="AI244" s="143"/>
      <c r="AJ244" s="143"/>
      <c r="AK244" s="143"/>
      <c r="AL244" s="143"/>
      <c r="AM244" s="143"/>
      <c r="AN244" s="232" t="s">
        <v>57</v>
      </c>
      <c r="AO244" s="233"/>
      <c r="AP244" s="234"/>
      <c r="AQ244" s="234"/>
      <c r="AR244" s="235">
        <f>SUM(AR241:AR243)</f>
        <v>5911</v>
      </c>
      <c r="AS244" s="138">
        <f>+AR244/AR239</f>
        <v>4.613238018575639E-2</v>
      </c>
      <c r="AU244" s="135"/>
      <c r="AV244" s="143"/>
      <c r="BK244" s="136"/>
      <c r="BL244" s="149"/>
      <c r="BM244" s="136"/>
      <c r="BN244" s="136"/>
      <c r="BO244" s="136"/>
      <c r="BQ244" s="365"/>
      <c r="BR244" s="176"/>
      <c r="BS244" s="176"/>
      <c r="BT244" s="176"/>
      <c r="BU244" s="176"/>
      <c r="BV244" s="176"/>
      <c r="BW244" s="176"/>
      <c r="BX244" s="176"/>
      <c r="BY244" s="176"/>
      <c r="BZ244" s="176"/>
    </row>
    <row r="245" spans="15:78" ht="18" customHeight="1" x14ac:dyDescent="0.2">
      <c r="AF245" s="143"/>
      <c r="AG245" s="143"/>
      <c r="AH245" s="143"/>
      <c r="AI245" s="143"/>
      <c r="AJ245" s="143"/>
      <c r="AK245" s="143"/>
      <c r="AL245" s="143"/>
      <c r="AM245" s="143"/>
      <c r="AN245" s="197" t="s">
        <v>58</v>
      </c>
      <c r="AO245" s="198"/>
      <c r="AP245" s="199"/>
      <c r="AQ245" s="199"/>
      <c r="AR245" s="200"/>
      <c r="AS245" s="153"/>
      <c r="AT245" s="153"/>
      <c r="AU245" s="135"/>
      <c r="AV245" s="143"/>
      <c r="BK245" s="136"/>
      <c r="BL245" s="149"/>
      <c r="BM245" s="136"/>
      <c r="BN245" s="136"/>
      <c r="BO245" s="136"/>
      <c r="BQ245" s="365"/>
      <c r="BR245" s="176"/>
      <c r="BS245" s="176"/>
      <c r="BT245" s="176"/>
      <c r="BU245" s="176"/>
      <c r="BV245" s="176"/>
      <c r="BW245" s="176"/>
      <c r="BX245" s="176"/>
      <c r="BY245" s="176"/>
      <c r="BZ245" s="176"/>
    </row>
    <row r="246" spans="15:78" ht="18" customHeight="1" x14ac:dyDescent="0.2">
      <c r="AF246" s="143"/>
      <c r="AG246" s="143"/>
      <c r="AH246" s="143"/>
      <c r="AI246" s="143"/>
      <c r="AJ246" s="143"/>
      <c r="AK246" s="143"/>
      <c r="AL246" s="143"/>
      <c r="AM246" s="143"/>
      <c r="AN246" s="252" t="s">
        <v>59</v>
      </c>
      <c r="AO246" s="213" t="s">
        <v>60</v>
      </c>
      <c r="AP246" s="226">
        <v>90</v>
      </c>
      <c r="AQ246" s="226">
        <v>1.9600688000000004</v>
      </c>
      <c r="AR246" s="215">
        <f>+ROUND(AP246*AQ246,2)</f>
        <v>176.41</v>
      </c>
      <c r="AS246" s="194"/>
      <c r="AT246" s="194"/>
      <c r="AU246" s="135"/>
      <c r="AV246" s="143"/>
      <c r="BK246" s="136"/>
      <c r="BL246" s="149"/>
      <c r="BM246" s="136"/>
      <c r="BN246" s="136"/>
      <c r="BO246" s="136"/>
      <c r="BP246" s="176"/>
      <c r="BQ246" s="365"/>
      <c r="BR246" s="176"/>
      <c r="BS246" s="176"/>
      <c r="BT246" s="176"/>
      <c r="BU246" s="176"/>
      <c r="BV246" s="176"/>
      <c r="BW246" s="176"/>
      <c r="BX246" s="176"/>
      <c r="BY246" s="176"/>
      <c r="BZ246" s="176"/>
    </row>
    <row r="247" spans="15:78" ht="18" customHeight="1" x14ac:dyDescent="0.2">
      <c r="AF247" s="143"/>
      <c r="AG247" s="143"/>
      <c r="AH247" s="143"/>
      <c r="AI247" s="143"/>
      <c r="AJ247" s="143"/>
      <c r="AK247" s="143"/>
      <c r="AL247" s="143"/>
      <c r="AM247" s="143"/>
      <c r="AN247" s="202" t="s">
        <v>62</v>
      </c>
      <c r="AO247" s="250"/>
      <c r="AP247" s="168"/>
      <c r="AQ247" s="168"/>
      <c r="AR247" s="251">
        <f>SUM(AR246:AR246)</f>
        <v>176.41</v>
      </c>
      <c r="AS247" s="194"/>
      <c r="AT247" s="194"/>
      <c r="AU247" s="135"/>
      <c r="AV247" s="143"/>
      <c r="BK247" s="136"/>
      <c r="BL247" s="149"/>
      <c r="BM247" s="136"/>
      <c r="BN247" s="136"/>
      <c r="BO247" s="136"/>
      <c r="BP247" s="176"/>
      <c r="BQ247" s="365"/>
      <c r="BR247" s="176"/>
      <c r="BS247" s="176"/>
      <c r="BT247" s="176"/>
      <c r="BU247" s="176"/>
      <c r="BV247" s="176"/>
      <c r="BW247" s="176"/>
      <c r="BX247" s="176"/>
      <c r="BY247" s="176"/>
      <c r="BZ247" s="176"/>
    </row>
    <row r="248" spans="15:78" ht="18" customHeight="1" x14ac:dyDescent="0.2">
      <c r="AF248" s="143"/>
      <c r="AG248" s="143"/>
      <c r="AH248" s="143"/>
      <c r="AI248" s="143"/>
      <c r="AJ248" s="143"/>
      <c r="AK248" s="143"/>
      <c r="AL248" s="143"/>
      <c r="AM248" s="143"/>
      <c r="AN248" s="253" t="s">
        <v>63</v>
      </c>
      <c r="AO248" s="233"/>
      <c r="AP248" s="254" t="s">
        <v>64</v>
      </c>
      <c r="AQ248" s="255"/>
      <c r="AR248" s="256">
        <f>+AR239+AR244+AR247</f>
        <v>134218.67000000001</v>
      </c>
      <c r="AS248" s="194"/>
      <c r="AT248" s="194"/>
      <c r="AU248" s="135"/>
      <c r="AV248" s="143"/>
      <c r="BK248" s="136"/>
      <c r="BL248" s="149"/>
      <c r="BM248" s="136"/>
      <c r="BN248" s="136"/>
      <c r="BO248" s="136"/>
      <c r="BP248" s="176"/>
      <c r="BQ248" s="365"/>
      <c r="BR248" s="176"/>
      <c r="BS248" s="176"/>
      <c r="BT248" s="176"/>
      <c r="BU248" s="176"/>
      <c r="BV248" s="176"/>
      <c r="BW248" s="176"/>
      <c r="BX248" s="176"/>
      <c r="BY248" s="176"/>
      <c r="BZ248" s="176"/>
    </row>
    <row r="249" spans="15:78" ht="18" customHeight="1" x14ac:dyDescent="0.2">
      <c r="AF249" s="143"/>
      <c r="AG249" s="143"/>
      <c r="AH249" s="143"/>
      <c r="AI249" s="143"/>
      <c r="AJ249" s="143"/>
      <c r="AK249" s="143"/>
      <c r="AL249" s="143"/>
      <c r="AM249" s="143"/>
      <c r="AN249" s="152"/>
      <c r="AO249" s="153"/>
      <c r="AP249" s="145"/>
      <c r="AQ249" s="145"/>
      <c r="AR249" s="145"/>
      <c r="AS249" s="154"/>
      <c r="AT249" s="154"/>
      <c r="AU249" s="135"/>
      <c r="AV249" s="143"/>
      <c r="BK249" s="136"/>
      <c r="BL249" s="149"/>
      <c r="BM249" s="136"/>
      <c r="BN249" s="136"/>
      <c r="BO249" s="136"/>
      <c r="BP249" s="176"/>
      <c r="BQ249" s="365"/>
      <c r="BR249" s="176"/>
      <c r="BS249" s="176"/>
      <c r="BT249" s="176"/>
      <c r="BU249" s="176"/>
      <c r="BV249" s="176"/>
      <c r="BW249" s="176"/>
      <c r="BX249" s="176"/>
      <c r="BY249" s="176"/>
      <c r="BZ249" s="176"/>
    </row>
    <row r="250" spans="15:78" ht="18" customHeight="1" x14ac:dyDescent="0.2">
      <c r="AF250" s="143"/>
      <c r="AG250" s="143"/>
      <c r="AH250" s="143"/>
      <c r="AI250" s="143"/>
      <c r="AJ250" s="143"/>
      <c r="AK250" s="143"/>
      <c r="AL250" s="143"/>
      <c r="AM250" s="143"/>
      <c r="AN250" s="155" t="s">
        <v>399</v>
      </c>
      <c r="AO250" s="169"/>
      <c r="AP250" s="172"/>
      <c r="AQ250" s="172"/>
      <c r="AR250" s="173"/>
      <c r="AS250" s="154"/>
      <c r="AT250" s="154"/>
      <c r="AU250" s="135"/>
      <c r="AV250" s="143"/>
      <c r="BK250" s="136"/>
      <c r="BL250" s="149"/>
      <c r="BM250" s="136"/>
      <c r="BN250" s="136"/>
      <c r="BO250" s="136"/>
      <c r="BP250" s="176"/>
      <c r="BQ250" s="189"/>
      <c r="BR250" s="176"/>
      <c r="BS250" s="176"/>
      <c r="BT250" s="176"/>
      <c r="BU250" s="176"/>
      <c r="BV250" s="176"/>
      <c r="BW250" s="176"/>
      <c r="BX250" s="176"/>
      <c r="BY250" s="176"/>
      <c r="BZ250" s="176"/>
    </row>
    <row r="251" spans="15:78" ht="18" customHeight="1" x14ac:dyDescent="0.2">
      <c r="AF251" s="143"/>
      <c r="AG251" s="143"/>
      <c r="AH251" s="143"/>
      <c r="AI251" s="143"/>
      <c r="AJ251" s="143"/>
      <c r="AK251" s="143"/>
      <c r="AL251" s="143"/>
      <c r="AM251" s="143"/>
      <c r="AN251" s="177" t="s">
        <v>402</v>
      </c>
      <c r="AO251" s="150"/>
      <c r="AP251" s="178"/>
      <c r="AQ251" s="149"/>
      <c r="AR251" s="179" t="str">
        <f>$G$75</f>
        <v>Un</v>
      </c>
      <c r="AS251" s="180">
        <f>$H$75</f>
        <v>2</v>
      </c>
      <c r="AT251" s="180"/>
      <c r="AU251" s="135"/>
      <c r="AV251" s="143"/>
      <c r="BK251" s="136"/>
      <c r="BL251" s="149"/>
      <c r="BM251" s="136"/>
      <c r="BN251" s="136"/>
      <c r="BO251" s="136"/>
      <c r="BP251" s="176"/>
      <c r="BQ251" s="189"/>
      <c r="BR251" s="176"/>
      <c r="BS251" s="176"/>
      <c r="BT251" s="176"/>
      <c r="BU251" s="176"/>
      <c r="BV251" s="176"/>
      <c r="BW251" s="176"/>
      <c r="BX251" s="176"/>
      <c r="BY251" s="176"/>
      <c r="BZ251" s="176"/>
    </row>
    <row r="252" spans="15:78" ht="18" customHeight="1" thickBot="1" x14ac:dyDescent="0.25">
      <c r="AF252" s="143"/>
      <c r="AG252" s="143"/>
      <c r="AH252" s="143"/>
      <c r="AI252" s="143"/>
      <c r="AJ252" s="143"/>
      <c r="AK252" s="143"/>
      <c r="AL252" s="143"/>
      <c r="AM252" s="143"/>
      <c r="AN252" s="183"/>
      <c r="AO252" s="184"/>
      <c r="AP252" s="185"/>
      <c r="AQ252" s="185"/>
      <c r="AR252" s="186"/>
      <c r="AU252" s="135"/>
      <c r="AV252" s="143"/>
      <c r="BK252" s="136"/>
      <c r="BL252" s="149"/>
      <c r="BM252" s="136"/>
      <c r="BN252" s="136"/>
      <c r="BO252" s="136"/>
      <c r="BP252" s="176"/>
      <c r="BQ252" s="189"/>
      <c r="BR252" s="176"/>
      <c r="BS252" s="176"/>
      <c r="BT252" s="176"/>
      <c r="BU252" s="176"/>
      <c r="BV252" s="176"/>
      <c r="BW252" s="176"/>
      <c r="BX252" s="176"/>
      <c r="BY252" s="176"/>
      <c r="BZ252" s="176"/>
    </row>
    <row r="253" spans="15:78" ht="18" customHeight="1" thickTop="1" x14ac:dyDescent="0.2">
      <c r="AF253" s="143"/>
      <c r="AG253" s="143"/>
      <c r="AH253" s="143"/>
      <c r="AI253" s="143"/>
      <c r="AJ253" s="143"/>
      <c r="AK253" s="143"/>
      <c r="AL253" s="143"/>
      <c r="AM253" s="143"/>
      <c r="AN253" s="191" t="s">
        <v>31</v>
      </c>
      <c r="AO253" s="192" t="s">
        <v>32</v>
      </c>
      <c r="AP253" s="192" t="s">
        <v>33</v>
      </c>
      <c r="AQ253" s="192" t="s">
        <v>1</v>
      </c>
      <c r="AR253" s="192" t="s">
        <v>34</v>
      </c>
      <c r="AS253" s="193" t="s">
        <v>76</v>
      </c>
      <c r="AT253" s="153"/>
      <c r="AU253" s="135"/>
      <c r="AV253" s="143"/>
      <c r="BL253" s="139"/>
      <c r="BM253" s="136"/>
      <c r="BN253" s="136"/>
      <c r="BO253" s="136"/>
      <c r="BP253" s="176"/>
      <c r="BQ253" s="189"/>
      <c r="BR253" s="176"/>
      <c r="BS253" s="176"/>
      <c r="BT253" s="176"/>
      <c r="BU253" s="176"/>
      <c r="BV253" s="176"/>
      <c r="BW253" s="176"/>
      <c r="BX253" s="176"/>
      <c r="BY253" s="176"/>
      <c r="BZ253" s="176"/>
    </row>
    <row r="254" spans="15:78" ht="18" customHeight="1" x14ac:dyDescent="0.2">
      <c r="AF254" s="143"/>
      <c r="AG254" s="143"/>
      <c r="AH254" s="143"/>
      <c r="AI254" s="143"/>
      <c r="AJ254" s="143"/>
      <c r="AK254" s="143"/>
      <c r="AL254" s="143"/>
      <c r="AM254" s="143"/>
      <c r="AN254" s="197" t="s">
        <v>37</v>
      </c>
      <c r="AO254" s="198"/>
      <c r="AP254" s="199"/>
      <c r="AQ254" s="199"/>
      <c r="AR254" s="200"/>
      <c r="AS254" s="201"/>
      <c r="AT254" s="194"/>
      <c r="AU254" s="135"/>
      <c r="AV254" s="143"/>
      <c r="BL254" s="139"/>
      <c r="BM254" s="136"/>
      <c r="BN254" s="136"/>
      <c r="BO254" s="136"/>
      <c r="BP254" s="176"/>
      <c r="BQ254" s="189"/>
      <c r="BR254" s="176"/>
      <c r="BS254" s="176"/>
      <c r="BT254" s="176"/>
      <c r="BU254" s="176"/>
      <c r="BV254" s="176"/>
      <c r="BW254" s="176"/>
      <c r="BX254" s="176"/>
      <c r="BY254" s="176"/>
      <c r="BZ254" s="176"/>
    </row>
    <row r="255" spans="15:78" ht="18" customHeight="1" x14ac:dyDescent="0.2">
      <c r="AF255" s="143"/>
      <c r="AG255" s="143"/>
      <c r="AH255" s="143"/>
      <c r="AI255" s="143"/>
      <c r="AJ255" s="143"/>
      <c r="AK255" s="143"/>
      <c r="AL255" s="143"/>
      <c r="AM255" s="143"/>
      <c r="AN255" s="216" t="s">
        <v>402</v>
      </c>
      <c r="AO255" s="213" t="s">
        <v>28</v>
      </c>
      <c r="AP255" s="214">
        <v>1</v>
      </c>
      <c r="AQ255" s="214">
        <v>210700</v>
      </c>
      <c r="AR255" s="215">
        <f>+ROUND(AP255*AQ255,2)</f>
        <v>210700</v>
      </c>
      <c r="AS255" s="201"/>
      <c r="AT255" s="194"/>
      <c r="AU255" s="135"/>
      <c r="AV255" s="143"/>
      <c r="BL255" s="139"/>
      <c r="BM255" s="136"/>
      <c r="BN255" s="136"/>
      <c r="BO255" s="136"/>
      <c r="BP255" s="176"/>
      <c r="BQ255" s="189"/>
      <c r="BR255" s="176"/>
      <c r="BS255" s="176"/>
      <c r="BT255" s="176"/>
      <c r="BU255" s="176"/>
      <c r="BV255" s="176"/>
      <c r="BW255" s="176"/>
      <c r="BX255" s="176"/>
      <c r="BY255" s="176"/>
      <c r="BZ255" s="176"/>
    </row>
    <row r="256" spans="15:78" ht="18" customHeight="1" x14ac:dyDescent="0.2">
      <c r="AF256" s="143"/>
      <c r="AG256" s="143"/>
      <c r="AH256" s="143"/>
      <c r="AI256" s="143"/>
      <c r="AJ256" s="143"/>
      <c r="AK256" s="143"/>
      <c r="AL256" s="143"/>
      <c r="AM256" s="143"/>
      <c r="AN256" s="216" t="s">
        <v>323</v>
      </c>
      <c r="AO256" s="213" t="s">
        <v>28</v>
      </c>
      <c r="AP256" s="214">
        <v>1</v>
      </c>
      <c r="AQ256" s="214">
        <v>6321</v>
      </c>
      <c r="AR256" s="215">
        <f>+ROUND(AP256*AQ256,2)</f>
        <v>6321</v>
      </c>
      <c r="AS256" s="201"/>
      <c r="AT256" s="194"/>
      <c r="AU256" s="135"/>
      <c r="AV256" s="143"/>
      <c r="BL256" s="139"/>
      <c r="BM256" s="136"/>
      <c r="BN256" s="136"/>
      <c r="BO256" s="136"/>
      <c r="BP256" s="176"/>
      <c r="BQ256" s="189"/>
      <c r="BR256" s="176"/>
      <c r="BS256" s="176"/>
      <c r="BT256" s="176"/>
      <c r="BU256" s="176"/>
      <c r="BV256" s="176"/>
      <c r="BW256" s="176"/>
      <c r="BX256" s="176"/>
      <c r="BY256" s="176"/>
      <c r="BZ256" s="176"/>
    </row>
    <row r="257" spans="15:78" ht="18" customHeight="1" x14ac:dyDescent="0.2">
      <c r="AF257" s="143"/>
      <c r="AG257" s="143"/>
      <c r="AH257" s="143"/>
      <c r="AI257" s="143"/>
      <c r="AJ257" s="143"/>
      <c r="AK257" s="143"/>
      <c r="AL257" s="143"/>
      <c r="AM257" s="143"/>
      <c r="AN257" s="224" t="s">
        <v>50</v>
      </c>
      <c r="AO257" s="225" t="s">
        <v>28</v>
      </c>
      <c r="AP257" s="226">
        <v>0.03</v>
      </c>
      <c r="AQ257" s="219">
        <v>217021</v>
      </c>
      <c r="AR257" s="215">
        <f>+ROUND(AP257*AQ257,2)</f>
        <v>6510.63</v>
      </c>
      <c r="AS257" s="201"/>
      <c r="AT257" s="194"/>
      <c r="AU257" s="135"/>
      <c r="AV257" s="143"/>
      <c r="BL257" s="139"/>
      <c r="BM257" s="136"/>
      <c r="BN257" s="136"/>
      <c r="BO257" s="136"/>
      <c r="BP257" s="176"/>
      <c r="BQ257" s="365"/>
      <c r="BR257" s="176"/>
      <c r="BS257" s="176"/>
      <c r="BT257" s="176"/>
      <c r="BU257" s="176"/>
      <c r="BV257" s="176"/>
      <c r="BW257" s="176"/>
      <c r="BX257" s="176"/>
      <c r="BY257" s="176"/>
      <c r="BZ257" s="176"/>
    </row>
    <row r="258" spans="15:78" ht="18" customHeight="1" x14ac:dyDescent="0.2">
      <c r="AF258" s="143"/>
      <c r="AG258" s="143"/>
      <c r="AH258" s="143"/>
      <c r="AI258" s="143"/>
      <c r="AJ258" s="143"/>
      <c r="AK258" s="143"/>
      <c r="AL258" s="143"/>
      <c r="AM258" s="143"/>
      <c r="AN258" s="232" t="s">
        <v>51</v>
      </c>
      <c r="AO258" s="233"/>
      <c r="AP258" s="234"/>
      <c r="AQ258" s="234"/>
      <c r="AR258" s="235">
        <f>SUM(AR255:AR257)</f>
        <v>223531.63</v>
      </c>
      <c r="AS258" s="235"/>
      <c r="AU258" s="135"/>
      <c r="AV258" s="143"/>
      <c r="BL258" s="139"/>
      <c r="BM258" s="136"/>
      <c r="BN258" s="136"/>
      <c r="BO258" s="136"/>
      <c r="BP258" s="176"/>
      <c r="BQ258" s="365"/>
      <c r="BR258" s="176"/>
      <c r="BS258" s="176"/>
      <c r="BT258" s="176"/>
      <c r="BU258" s="176"/>
      <c r="BV258" s="176"/>
      <c r="BW258" s="176"/>
      <c r="BX258" s="176"/>
      <c r="BY258" s="176"/>
      <c r="BZ258" s="176"/>
    </row>
    <row r="259" spans="15:78" ht="18" customHeight="1" x14ac:dyDescent="0.2">
      <c r="AF259" s="143"/>
      <c r="AG259" s="174"/>
      <c r="AH259" s="174"/>
      <c r="AI259" s="174"/>
      <c r="AJ259" s="174"/>
      <c r="AK259" s="174"/>
      <c r="AL259" s="174"/>
      <c r="AM259" s="174"/>
      <c r="AN259" s="197" t="s">
        <v>53</v>
      </c>
      <c r="AO259" s="198"/>
      <c r="AP259" s="199"/>
      <c r="AQ259" s="199"/>
      <c r="AR259" s="200"/>
      <c r="AS259" s="153"/>
      <c r="AT259" s="153"/>
      <c r="AU259" s="135"/>
      <c r="AV259" s="143"/>
      <c r="BL259" s="139"/>
      <c r="BM259" s="136"/>
      <c r="BN259" s="136"/>
      <c r="BO259" s="136"/>
      <c r="BP259" s="176"/>
      <c r="BQ259" s="365"/>
      <c r="BR259" s="176"/>
      <c r="BS259" s="176"/>
      <c r="BT259" s="176"/>
      <c r="BU259" s="176"/>
      <c r="BV259" s="176"/>
      <c r="BW259" s="176"/>
      <c r="BX259" s="176"/>
      <c r="BY259" s="176"/>
      <c r="BZ259" s="176"/>
    </row>
    <row r="260" spans="15:78" ht="18" customHeight="1" x14ac:dyDescent="0.2">
      <c r="AF260" s="174"/>
      <c r="AG260" s="143"/>
      <c r="AH260" s="143"/>
      <c r="AI260" s="143"/>
      <c r="AJ260" s="143"/>
      <c r="AK260" s="143"/>
      <c r="AL260" s="143"/>
      <c r="AM260" s="143"/>
      <c r="AN260" s="224" t="s">
        <v>54</v>
      </c>
      <c r="AO260" s="225" t="s">
        <v>55</v>
      </c>
      <c r="AP260" s="226">
        <v>3</v>
      </c>
      <c r="AQ260" s="226">
        <v>1600.8</v>
      </c>
      <c r="AR260" s="215">
        <f>+ROUND(AP260*AQ260,2)</f>
        <v>4802.3999999999996</v>
      </c>
      <c r="AS260" s="194"/>
      <c r="AT260" s="194"/>
      <c r="AU260" s="135"/>
      <c r="AV260" s="143"/>
      <c r="BL260" s="139"/>
      <c r="BM260" s="136"/>
      <c r="BN260" s="136"/>
      <c r="BO260" s="136"/>
      <c r="BP260" s="176"/>
      <c r="BQ260" s="365"/>
      <c r="BR260" s="176"/>
      <c r="BS260" s="176"/>
      <c r="BT260" s="176"/>
      <c r="BU260" s="176"/>
      <c r="BV260" s="176"/>
      <c r="BW260" s="176"/>
      <c r="BX260" s="176"/>
      <c r="BY260" s="176"/>
      <c r="BZ260" s="176"/>
    </row>
    <row r="261" spans="15:78" ht="18" customHeight="1" x14ac:dyDescent="0.2">
      <c r="AF261" s="143"/>
      <c r="AG261" s="143"/>
      <c r="AH261" s="143"/>
      <c r="AI261" s="143"/>
      <c r="AJ261" s="143"/>
      <c r="AK261" s="143"/>
      <c r="AL261" s="143"/>
      <c r="AM261" s="143"/>
      <c r="AN261" s="224" t="s">
        <v>56</v>
      </c>
      <c r="AO261" s="225" t="s">
        <v>55</v>
      </c>
      <c r="AP261" s="226">
        <v>2</v>
      </c>
      <c r="AQ261" s="226">
        <v>1354.6999999999998</v>
      </c>
      <c r="AR261" s="215">
        <f>+ROUND(AP261*AQ261,2)</f>
        <v>2709.4</v>
      </c>
      <c r="AS261" s="194"/>
      <c r="AT261" s="194"/>
      <c r="AU261" s="135"/>
      <c r="AV261" s="143"/>
      <c r="BL261" s="139"/>
      <c r="BM261" s="136"/>
      <c r="BN261" s="136"/>
      <c r="BO261" s="136"/>
      <c r="BP261" s="176"/>
      <c r="BQ261" s="365"/>
      <c r="BR261" s="176"/>
      <c r="BS261" s="176"/>
      <c r="BT261" s="176"/>
      <c r="BU261" s="176"/>
      <c r="BV261" s="176"/>
      <c r="BW261" s="176"/>
      <c r="BX261" s="176"/>
      <c r="BY261" s="176"/>
      <c r="BZ261" s="176"/>
    </row>
    <row r="262" spans="15:78" ht="18" customHeight="1" x14ac:dyDescent="0.2">
      <c r="AF262" s="143"/>
      <c r="AG262" s="143"/>
      <c r="AH262" s="143"/>
      <c r="AI262" s="143"/>
      <c r="AJ262" s="143"/>
      <c r="AK262" s="143"/>
      <c r="AL262" s="143"/>
      <c r="AM262" s="143"/>
      <c r="AN262" s="248"/>
      <c r="AO262" s="249"/>
      <c r="AP262" s="219"/>
      <c r="AQ262" s="219"/>
      <c r="AR262" s="215"/>
      <c r="AS262" s="194"/>
      <c r="AT262" s="194"/>
      <c r="AU262" s="135"/>
      <c r="AV262" s="143"/>
      <c r="BL262" s="139"/>
      <c r="BM262" s="136"/>
      <c r="BN262" s="136"/>
      <c r="BO262" s="136"/>
      <c r="BP262" s="176"/>
      <c r="BQ262" s="365"/>
      <c r="BR262" s="176"/>
      <c r="BS262" s="176"/>
      <c r="BT262" s="176"/>
      <c r="BU262" s="176"/>
      <c r="BV262" s="176"/>
      <c r="BW262" s="176"/>
      <c r="BX262" s="176"/>
      <c r="BY262" s="176"/>
      <c r="BZ262" s="176"/>
    </row>
    <row r="263" spans="15:78" ht="18" customHeight="1" x14ac:dyDescent="0.2">
      <c r="AF263" s="143"/>
      <c r="AG263" s="143"/>
      <c r="AH263" s="143"/>
      <c r="AI263" s="143"/>
      <c r="AJ263" s="143"/>
      <c r="AK263" s="143"/>
      <c r="AL263" s="143"/>
      <c r="AM263" s="143"/>
      <c r="AN263" s="232" t="s">
        <v>57</v>
      </c>
      <c r="AO263" s="233"/>
      <c r="AP263" s="234"/>
      <c r="AQ263" s="234"/>
      <c r="AR263" s="235">
        <f>SUM(AR260:AR262)</f>
        <v>7511.7999999999993</v>
      </c>
      <c r="AS263" s="138">
        <f>+AR263/AR258</f>
        <v>3.3605087566354698E-2</v>
      </c>
      <c r="AU263" s="135"/>
      <c r="AV263" s="143"/>
      <c r="BL263" s="139"/>
      <c r="BM263" s="136"/>
      <c r="BN263" s="136"/>
      <c r="BO263" s="136"/>
      <c r="BP263" s="176"/>
      <c r="BQ263" s="365"/>
      <c r="BR263" s="176"/>
      <c r="BS263" s="176"/>
      <c r="BT263" s="176"/>
      <c r="BU263" s="176"/>
      <c r="BV263" s="176"/>
      <c r="BW263" s="176"/>
      <c r="BX263" s="176"/>
      <c r="BY263" s="176"/>
      <c r="BZ263" s="176"/>
    </row>
    <row r="264" spans="15:78" ht="18" customHeight="1" x14ac:dyDescent="0.2">
      <c r="AF264" s="143"/>
      <c r="AG264" s="143"/>
      <c r="AH264" s="143"/>
      <c r="AI264" s="143"/>
      <c r="AJ264" s="143"/>
      <c r="AK264" s="143"/>
      <c r="AL264" s="143"/>
      <c r="AM264" s="143"/>
      <c r="AN264" s="197" t="s">
        <v>58</v>
      </c>
      <c r="AO264" s="198"/>
      <c r="AP264" s="199"/>
      <c r="AQ264" s="199"/>
      <c r="AR264" s="200"/>
      <c r="AS264" s="153"/>
      <c r="AT264" s="153"/>
      <c r="AU264" s="135"/>
      <c r="AV264" s="143"/>
      <c r="BL264" s="139"/>
      <c r="BM264" s="136"/>
      <c r="BN264" s="136"/>
      <c r="BO264" s="136"/>
      <c r="BP264" s="176"/>
      <c r="BQ264" s="365"/>
      <c r="BR264" s="176"/>
      <c r="BS264" s="176"/>
      <c r="BT264" s="176"/>
      <c r="BU264" s="176"/>
      <c r="BV264" s="176"/>
      <c r="BW264" s="176"/>
      <c r="BX264" s="176"/>
      <c r="BY264" s="176"/>
      <c r="BZ264" s="176"/>
    </row>
    <row r="265" spans="15:78" ht="18" customHeight="1" x14ac:dyDescent="0.2">
      <c r="AF265" s="143"/>
      <c r="AG265" s="143"/>
      <c r="AH265" s="143"/>
      <c r="AI265" s="143"/>
      <c r="AJ265" s="143"/>
      <c r="AK265" s="143"/>
      <c r="AL265" s="143"/>
      <c r="AM265" s="143"/>
      <c r="AN265" s="252" t="s">
        <v>59</v>
      </c>
      <c r="AO265" s="213" t="s">
        <v>60</v>
      </c>
      <c r="AP265" s="226">
        <v>120</v>
      </c>
      <c r="AQ265" s="226">
        <v>1.9600688000000004</v>
      </c>
      <c r="AR265" s="215">
        <f>+ROUND(AP265*AQ265,2)</f>
        <v>235.21</v>
      </c>
      <c r="AS265" s="194"/>
      <c r="AT265" s="194"/>
      <c r="AU265" s="135"/>
      <c r="AV265" s="143"/>
      <c r="BL265" s="139"/>
      <c r="BM265" s="136"/>
      <c r="BN265" s="136"/>
      <c r="BO265" s="136"/>
      <c r="BP265" s="176"/>
      <c r="BQ265" s="189"/>
      <c r="BR265" s="176"/>
      <c r="BS265" s="176"/>
      <c r="BT265" s="176"/>
      <c r="BU265" s="176"/>
      <c r="BV265" s="176"/>
      <c r="BW265" s="176"/>
      <c r="BX265" s="176"/>
      <c r="BY265" s="176"/>
      <c r="BZ265" s="176"/>
    </row>
    <row r="266" spans="15:78" ht="18" customHeight="1" x14ac:dyDescent="0.2">
      <c r="AF266" s="143"/>
      <c r="AG266" s="143"/>
      <c r="AH266" s="143"/>
      <c r="AI266" s="143"/>
      <c r="AJ266" s="143"/>
      <c r="AK266" s="143"/>
      <c r="AL266" s="143"/>
      <c r="AM266" s="143"/>
      <c r="AN266" s="202" t="s">
        <v>62</v>
      </c>
      <c r="AO266" s="250"/>
      <c r="AP266" s="168"/>
      <c r="AQ266" s="168"/>
      <c r="AR266" s="251">
        <f>SUM(AR265:AR265)</f>
        <v>235.21</v>
      </c>
      <c r="AS266" s="194"/>
      <c r="AT266" s="194"/>
      <c r="AU266" s="135"/>
      <c r="AV266" s="143"/>
      <c r="BL266" s="139"/>
      <c r="BM266" s="136"/>
      <c r="BN266" s="136"/>
      <c r="BO266" s="136"/>
      <c r="BP266" s="176"/>
      <c r="BQ266" s="189"/>
      <c r="BR266" s="176"/>
      <c r="BS266" s="176"/>
      <c r="BT266" s="176"/>
      <c r="BU266" s="176"/>
      <c r="BV266" s="176"/>
      <c r="BW266" s="176"/>
      <c r="BX266" s="176"/>
      <c r="BY266" s="176"/>
      <c r="BZ266" s="176"/>
    </row>
    <row r="267" spans="15:78" ht="18" customHeight="1" x14ac:dyDescent="0.2">
      <c r="AF267" s="143"/>
      <c r="AG267" s="143"/>
      <c r="AH267" s="143"/>
      <c r="AI267" s="143"/>
      <c r="AJ267" s="143"/>
      <c r="AK267" s="143"/>
      <c r="AL267" s="143"/>
      <c r="AM267" s="143"/>
      <c r="AN267" s="253" t="s">
        <v>63</v>
      </c>
      <c r="AO267" s="233"/>
      <c r="AP267" s="254" t="s">
        <v>64</v>
      </c>
      <c r="AQ267" s="255"/>
      <c r="AR267" s="256">
        <f>+AR258+AR263+AR266</f>
        <v>231278.63999999998</v>
      </c>
      <c r="AS267" s="194"/>
      <c r="AT267" s="194"/>
      <c r="AU267" s="135"/>
      <c r="AV267" s="143"/>
      <c r="BK267" s="267"/>
      <c r="BL267" s="139"/>
      <c r="BM267" s="136"/>
      <c r="BN267" s="136"/>
      <c r="BO267" s="136"/>
      <c r="BP267" s="176"/>
      <c r="BQ267" s="189"/>
      <c r="BR267" s="176"/>
      <c r="BS267" s="176"/>
      <c r="BT267" s="176"/>
      <c r="BU267" s="176"/>
      <c r="BV267" s="176"/>
      <c r="BW267" s="176"/>
      <c r="BX267" s="176"/>
      <c r="BY267" s="176"/>
      <c r="BZ267" s="176"/>
    </row>
    <row r="268" spans="15:78" ht="18" customHeight="1" x14ac:dyDescent="0.2">
      <c r="O268" s="366"/>
      <c r="AF268" s="143"/>
      <c r="AG268" s="143"/>
      <c r="AH268" s="143"/>
      <c r="AI268" s="143"/>
      <c r="AJ268" s="143"/>
      <c r="AK268" s="143"/>
      <c r="AL268" s="143"/>
      <c r="AM268" s="143"/>
      <c r="AN268" s="152"/>
      <c r="AO268" s="153"/>
      <c r="AP268" s="145"/>
      <c r="AQ268" s="145"/>
      <c r="AR268" s="145"/>
      <c r="AS268" s="154"/>
      <c r="AT268" s="154"/>
      <c r="AU268" s="135"/>
      <c r="AV268" s="143"/>
      <c r="BK268" s="267"/>
      <c r="BL268" s="139"/>
      <c r="BM268" s="136"/>
      <c r="BN268" s="136"/>
      <c r="BO268" s="136"/>
      <c r="BP268" s="176"/>
      <c r="BQ268" s="189"/>
      <c r="BR268" s="176"/>
      <c r="BS268" s="176"/>
      <c r="BT268" s="176"/>
      <c r="BU268" s="176"/>
      <c r="BV268" s="176"/>
      <c r="BW268" s="176"/>
      <c r="BX268" s="176"/>
      <c r="BY268" s="176"/>
      <c r="BZ268" s="176"/>
    </row>
    <row r="269" spans="15:78" ht="18" customHeight="1" x14ac:dyDescent="0.2">
      <c r="O269" s="367"/>
      <c r="AF269" s="143"/>
      <c r="AG269" s="143"/>
      <c r="AH269" s="143"/>
      <c r="AI269" s="143"/>
      <c r="AJ269" s="143"/>
      <c r="AK269" s="143"/>
      <c r="AL269" s="143"/>
      <c r="AM269" s="143"/>
      <c r="AN269" s="155" t="s">
        <v>399</v>
      </c>
      <c r="AO269" s="169"/>
      <c r="AP269" s="172"/>
      <c r="AQ269" s="172"/>
      <c r="AR269" s="173"/>
      <c r="AS269" s="154"/>
      <c r="AT269" s="154"/>
      <c r="AU269" s="135"/>
      <c r="AV269" s="143"/>
      <c r="BK269" s="136"/>
      <c r="BL269" s="149"/>
      <c r="BM269" s="136"/>
      <c r="BN269" s="136"/>
      <c r="BO269" s="136"/>
      <c r="BP269" s="176"/>
      <c r="BQ269" s="189"/>
      <c r="BR269" s="176"/>
      <c r="BS269" s="176"/>
      <c r="BT269" s="176"/>
      <c r="BU269" s="176"/>
      <c r="BV269" s="176"/>
      <c r="BW269" s="176"/>
      <c r="BX269" s="176"/>
      <c r="BY269" s="176"/>
      <c r="BZ269" s="176"/>
    </row>
    <row r="270" spans="15:78" ht="18" customHeight="1" x14ac:dyDescent="0.2">
      <c r="AF270" s="143"/>
      <c r="AG270" s="143"/>
      <c r="AH270" s="143"/>
      <c r="AI270" s="143"/>
      <c r="AJ270" s="143"/>
      <c r="AK270" s="143"/>
      <c r="AL270" s="143"/>
      <c r="AM270" s="143"/>
      <c r="AN270" s="177" t="s">
        <v>403</v>
      </c>
      <c r="AO270" s="150"/>
      <c r="AP270" s="178"/>
      <c r="AQ270" s="149"/>
      <c r="AR270" s="179" t="str">
        <f>$G$76</f>
        <v>Un</v>
      </c>
      <c r="AS270" s="180">
        <f>$H$76</f>
        <v>4</v>
      </c>
      <c r="AT270" s="180"/>
      <c r="AU270" s="135"/>
      <c r="AV270" s="143"/>
      <c r="BK270" s="136"/>
      <c r="BL270" s="149"/>
      <c r="BM270" s="136"/>
      <c r="BN270" s="136"/>
      <c r="BO270" s="136"/>
      <c r="BP270" s="176"/>
      <c r="BQ270" s="189"/>
      <c r="BR270" s="176"/>
      <c r="BS270" s="176"/>
      <c r="BT270" s="176"/>
      <c r="BU270" s="176"/>
      <c r="BV270" s="176"/>
      <c r="BW270" s="176"/>
      <c r="BX270" s="176"/>
      <c r="BY270" s="176"/>
      <c r="BZ270" s="176"/>
    </row>
    <row r="271" spans="15:78" ht="18" customHeight="1" thickBot="1" x14ac:dyDescent="0.25">
      <c r="AF271" s="143"/>
      <c r="AG271" s="143"/>
      <c r="AH271" s="143"/>
      <c r="AI271" s="143"/>
      <c r="AJ271" s="143"/>
      <c r="AK271" s="143"/>
      <c r="AL271" s="143"/>
      <c r="AM271" s="143"/>
      <c r="AN271" s="183"/>
      <c r="AO271" s="184"/>
      <c r="AP271" s="185"/>
      <c r="AQ271" s="185"/>
      <c r="AR271" s="186"/>
      <c r="AU271" s="135"/>
      <c r="AV271" s="143"/>
      <c r="BK271" s="136"/>
      <c r="BL271" s="149"/>
      <c r="BM271" s="136"/>
      <c r="BN271" s="136"/>
      <c r="BO271" s="136"/>
      <c r="BP271" s="176"/>
      <c r="BQ271" s="189"/>
      <c r="BR271" s="176"/>
      <c r="BS271" s="176"/>
      <c r="BT271" s="176"/>
      <c r="BU271" s="176"/>
      <c r="BV271" s="176"/>
      <c r="BW271" s="176"/>
      <c r="BX271" s="176"/>
      <c r="BY271" s="176"/>
      <c r="BZ271" s="176"/>
    </row>
    <row r="272" spans="15:78" ht="18" customHeight="1" thickTop="1" x14ac:dyDescent="0.2">
      <c r="AF272" s="143"/>
      <c r="AG272" s="143"/>
      <c r="AH272" s="143"/>
      <c r="AI272" s="143"/>
      <c r="AJ272" s="143"/>
      <c r="AK272" s="143"/>
      <c r="AL272" s="143"/>
      <c r="AM272" s="143"/>
      <c r="AN272" s="191" t="s">
        <v>31</v>
      </c>
      <c r="AO272" s="192" t="s">
        <v>32</v>
      </c>
      <c r="AP272" s="192" t="s">
        <v>33</v>
      </c>
      <c r="AQ272" s="192" t="s">
        <v>1</v>
      </c>
      <c r="AR272" s="192" t="s">
        <v>34</v>
      </c>
      <c r="AS272" s="193" t="s">
        <v>76</v>
      </c>
      <c r="AT272" s="153"/>
      <c r="AU272" s="135"/>
      <c r="AV272" s="143"/>
      <c r="BK272" s="136"/>
      <c r="BL272" s="149"/>
      <c r="BM272" s="136"/>
      <c r="BN272" s="136"/>
      <c r="BO272" s="136"/>
      <c r="BP272" s="176"/>
      <c r="BQ272" s="365"/>
      <c r="BR272" s="176"/>
      <c r="BS272" s="176"/>
      <c r="BT272" s="176"/>
      <c r="BU272" s="176"/>
      <c r="BV272" s="176"/>
      <c r="BW272" s="176"/>
      <c r="BX272" s="176"/>
      <c r="BY272" s="176"/>
      <c r="BZ272" s="176"/>
    </row>
    <row r="273" spans="32:78" ht="18" customHeight="1" x14ac:dyDescent="0.2">
      <c r="AF273" s="143"/>
      <c r="AG273" s="143"/>
      <c r="AH273" s="143"/>
      <c r="AI273" s="143"/>
      <c r="AJ273" s="143"/>
      <c r="AK273" s="143"/>
      <c r="AL273" s="143"/>
      <c r="AM273" s="143"/>
      <c r="AN273" s="197" t="s">
        <v>37</v>
      </c>
      <c r="AO273" s="198"/>
      <c r="AP273" s="199"/>
      <c r="AQ273" s="199"/>
      <c r="AR273" s="200"/>
      <c r="AS273" s="201"/>
      <c r="AT273" s="194"/>
      <c r="AU273" s="135"/>
      <c r="AV273" s="143"/>
      <c r="BK273" s="136"/>
      <c r="BL273" s="149"/>
      <c r="BM273" s="136"/>
      <c r="BN273" s="136"/>
      <c r="BO273" s="136"/>
      <c r="BP273" s="176"/>
      <c r="BQ273" s="365"/>
      <c r="BR273" s="176"/>
      <c r="BS273" s="176"/>
      <c r="BT273" s="176"/>
      <c r="BU273" s="176"/>
      <c r="BV273" s="176"/>
      <c r="BW273" s="176"/>
      <c r="BX273" s="176"/>
      <c r="BY273" s="176"/>
      <c r="BZ273" s="176"/>
    </row>
    <row r="274" spans="32:78" ht="18" customHeight="1" x14ac:dyDescent="0.2">
      <c r="AF274" s="143"/>
      <c r="AG274" s="143"/>
      <c r="AH274" s="143"/>
      <c r="AI274" s="143"/>
      <c r="AJ274" s="143"/>
      <c r="AK274" s="143"/>
      <c r="AL274" s="143"/>
      <c r="AM274" s="143"/>
      <c r="AN274" s="216" t="s">
        <v>403</v>
      </c>
      <c r="AO274" s="213" t="s">
        <v>28</v>
      </c>
      <c r="AP274" s="214">
        <v>1</v>
      </c>
      <c r="AQ274" s="214">
        <v>116657</v>
      </c>
      <c r="AR274" s="215">
        <f>+ROUND(AP274*AQ274,2)</f>
        <v>116657</v>
      </c>
      <c r="AS274" s="201"/>
      <c r="AT274" s="194"/>
      <c r="AU274" s="135"/>
      <c r="AV274" s="143"/>
      <c r="BK274" s="136"/>
      <c r="BL274" s="149"/>
      <c r="BM274" s="136"/>
      <c r="BN274" s="136"/>
      <c r="BO274" s="136"/>
      <c r="BP274" s="176"/>
      <c r="BQ274" s="365"/>
      <c r="BR274" s="176"/>
      <c r="BS274" s="176"/>
      <c r="BT274" s="176"/>
      <c r="BU274" s="176"/>
      <c r="BV274" s="176"/>
      <c r="BW274" s="176"/>
      <c r="BX274" s="176"/>
      <c r="BY274" s="176"/>
      <c r="BZ274" s="176"/>
    </row>
    <row r="275" spans="32:78" ht="18" customHeight="1" x14ac:dyDescent="0.2">
      <c r="AF275" s="143"/>
      <c r="AG275" s="143"/>
      <c r="AH275" s="143"/>
      <c r="AI275" s="143"/>
      <c r="AJ275" s="143"/>
      <c r="AK275" s="143"/>
      <c r="AL275" s="143"/>
      <c r="AM275" s="143"/>
      <c r="AN275" s="216" t="s">
        <v>323</v>
      </c>
      <c r="AO275" s="213" t="s">
        <v>28</v>
      </c>
      <c r="AP275" s="214">
        <v>1</v>
      </c>
      <c r="AQ275" s="214">
        <v>3499.71</v>
      </c>
      <c r="AR275" s="215">
        <f>+ROUND(AP275*AQ275,2)</f>
        <v>3499.71</v>
      </c>
      <c r="AS275" s="201"/>
      <c r="AT275" s="194"/>
      <c r="AU275" s="135"/>
      <c r="AV275" s="143"/>
      <c r="BK275" s="136"/>
      <c r="BL275" s="149"/>
      <c r="BM275" s="136"/>
      <c r="BN275" s="136"/>
      <c r="BO275" s="136"/>
      <c r="BP275" s="176"/>
      <c r="BQ275" s="365"/>
      <c r="BR275" s="176"/>
      <c r="BS275" s="176"/>
      <c r="BT275" s="176"/>
      <c r="BU275" s="176"/>
      <c r="BV275" s="176"/>
      <c r="BW275" s="176"/>
      <c r="BX275" s="176"/>
      <c r="BY275" s="176"/>
      <c r="BZ275" s="176"/>
    </row>
    <row r="276" spans="32:78" ht="18" customHeight="1" x14ac:dyDescent="0.2">
      <c r="AF276" s="143"/>
      <c r="AG276" s="143"/>
      <c r="AH276" s="143"/>
      <c r="AI276" s="143"/>
      <c r="AJ276" s="143"/>
      <c r="AK276" s="143"/>
      <c r="AL276" s="143"/>
      <c r="AM276" s="143"/>
      <c r="AN276" s="224" t="s">
        <v>50</v>
      </c>
      <c r="AO276" s="225" t="s">
        <v>28</v>
      </c>
      <c r="AP276" s="226">
        <v>0.03</v>
      </c>
      <c r="AQ276" s="219">
        <v>120156.71</v>
      </c>
      <c r="AR276" s="215">
        <f>+ROUND(AP276*AQ276,2)</f>
        <v>3604.7</v>
      </c>
      <c r="AS276" s="201"/>
      <c r="AT276" s="194"/>
      <c r="AU276" s="135"/>
      <c r="AV276" s="143"/>
      <c r="BK276" s="136"/>
      <c r="BL276" s="149"/>
      <c r="BM276" s="136"/>
      <c r="BN276" s="136"/>
      <c r="BO276" s="136"/>
      <c r="BP276" s="176"/>
      <c r="BQ276" s="365"/>
      <c r="BR276" s="176"/>
      <c r="BS276" s="176"/>
      <c r="BT276" s="176"/>
      <c r="BU276" s="176"/>
      <c r="BV276" s="176"/>
      <c r="BW276" s="176"/>
      <c r="BX276" s="176"/>
      <c r="BY276" s="176"/>
      <c r="BZ276" s="176"/>
    </row>
    <row r="277" spans="32:78" ht="18" customHeight="1" x14ac:dyDescent="0.2">
      <c r="AF277" s="143"/>
      <c r="AG277" s="143"/>
      <c r="AH277" s="143"/>
      <c r="AI277" s="143"/>
      <c r="AJ277" s="143"/>
      <c r="AK277" s="143"/>
      <c r="AL277" s="143"/>
      <c r="AM277" s="143"/>
      <c r="AN277" s="232" t="s">
        <v>51</v>
      </c>
      <c r="AO277" s="233"/>
      <c r="AP277" s="234"/>
      <c r="AQ277" s="234"/>
      <c r="AR277" s="235">
        <f>SUM(AR274:AR276)</f>
        <v>123761.41</v>
      </c>
      <c r="AS277" s="235"/>
      <c r="AU277" s="135"/>
      <c r="AV277" s="143"/>
      <c r="BK277" s="136"/>
      <c r="BL277" s="149"/>
      <c r="BM277" s="136"/>
      <c r="BN277" s="136"/>
      <c r="BO277" s="136"/>
      <c r="BP277" s="176"/>
      <c r="BQ277" s="365"/>
      <c r="BR277" s="176"/>
      <c r="BS277" s="176"/>
      <c r="BT277" s="176"/>
      <c r="BU277" s="176"/>
      <c r="BV277" s="176"/>
      <c r="BW277" s="176"/>
      <c r="BX277" s="176"/>
      <c r="BY277" s="176"/>
      <c r="BZ277" s="176"/>
    </row>
    <row r="278" spans="32:78" ht="18" customHeight="1" x14ac:dyDescent="0.2">
      <c r="AF278" s="143"/>
      <c r="AG278" s="174"/>
      <c r="AH278" s="174"/>
      <c r="AI278" s="174"/>
      <c r="AJ278" s="174"/>
      <c r="AK278" s="174"/>
      <c r="AL278" s="174"/>
      <c r="AM278" s="174"/>
      <c r="AN278" s="197" t="s">
        <v>53</v>
      </c>
      <c r="AO278" s="198"/>
      <c r="AP278" s="199"/>
      <c r="AQ278" s="199"/>
      <c r="AR278" s="200"/>
      <c r="AS278" s="153"/>
      <c r="AT278" s="153"/>
      <c r="AU278" s="135"/>
      <c r="AV278" s="143"/>
      <c r="BK278" s="136"/>
      <c r="BL278" s="149"/>
      <c r="BM278" s="136"/>
      <c r="BN278" s="136"/>
      <c r="BO278" s="136"/>
      <c r="BP278" s="176"/>
      <c r="BQ278" s="365"/>
      <c r="BR278" s="176"/>
      <c r="BS278" s="176"/>
      <c r="BT278" s="176"/>
      <c r="BU278" s="176"/>
      <c r="BV278" s="176"/>
      <c r="BW278" s="176"/>
      <c r="BX278" s="176"/>
      <c r="BY278" s="176"/>
      <c r="BZ278" s="176"/>
    </row>
    <row r="279" spans="32:78" ht="18" customHeight="1" x14ac:dyDescent="0.2">
      <c r="AF279" s="174"/>
      <c r="AG279" s="143"/>
      <c r="AH279" s="143"/>
      <c r="AI279" s="143"/>
      <c r="AJ279" s="143"/>
      <c r="AK279" s="143"/>
      <c r="AL279" s="143"/>
      <c r="AM279" s="143"/>
      <c r="AN279" s="224" t="s">
        <v>54</v>
      </c>
      <c r="AO279" s="225" t="s">
        <v>55</v>
      </c>
      <c r="AP279" s="226">
        <v>2</v>
      </c>
      <c r="AQ279" s="226">
        <v>1600.8</v>
      </c>
      <c r="AR279" s="215">
        <f>+ROUND(AP279*AQ279,2)</f>
        <v>3201.6</v>
      </c>
      <c r="AS279" s="194"/>
      <c r="AT279" s="194"/>
      <c r="AU279" s="135"/>
      <c r="AV279" s="143"/>
      <c r="BK279" s="136"/>
      <c r="BL279" s="149"/>
      <c r="BM279" s="136"/>
      <c r="BN279" s="136"/>
      <c r="BO279" s="136"/>
      <c r="BP279" s="176"/>
      <c r="BQ279" s="365"/>
      <c r="BR279" s="176"/>
      <c r="BS279" s="176"/>
      <c r="BT279" s="176"/>
      <c r="BU279" s="176"/>
      <c r="BV279" s="176"/>
      <c r="BW279" s="176"/>
      <c r="BX279" s="176"/>
      <c r="BY279" s="176"/>
      <c r="BZ279" s="176"/>
    </row>
    <row r="280" spans="32:78" ht="18" customHeight="1" x14ac:dyDescent="0.2">
      <c r="AF280" s="143"/>
      <c r="AG280" s="143"/>
      <c r="AH280" s="143"/>
      <c r="AI280" s="143"/>
      <c r="AJ280" s="143"/>
      <c r="AK280" s="143"/>
      <c r="AL280" s="143"/>
      <c r="AM280" s="143"/>
      <c r="AN280" s="224" t="s">
        <v>56</v>
      </c>
      <c r="AO280" s="225" t="s">
        <v>55</v>
      </c>
      <c r="AP280" s="226">
        <v>2</v>
      </c>
      <c r="AQ280" s="226">
        <v>1354.6999999999998</v>
      </c>
      <c r="AR280" s="215">
        <f>+ROUND(AP280*AQ280,2)</f>
        <v>2709.4</v>
      </c>
      <c r="AS280" s="194"/>
      <c r="AT280" s="194"/>
      <c r="AU280" s="135"/>
      <c r="AV280" s="143"/>
      <c r="BK280" s="136"/>
      <c r="BL280" s="149"/>
      <c r="BM280" s="136"/>
      <c r="BN280" s="136"/>
      <c r="BO280" s="136"/>
      <c r="BP280" s="176"/>
      <c r="BQ280" s="365"/>
      <c r="BR280" s="176"/>
      <c r="BS280" s="176"/>
      <c r="BT280" s="176"/>
      <c r="BU280" s="176"/>
      <c r="BV280" s="176"/>
      <c r="BW280" s="176"/>
      <c r="BX280" s="176"/>
      <c r="BY280" s="176"/>
      <c r="BZ280" s="176"/>
    </row>
    <row r="281" spans="32:78" ht="18" customHeight="1" x14ac:dyDescent="0.2">
      <c r="AF281" s="143"/>
      <c r="AG281" s="143"/>
      <c r="AH281" s="143"/>
      <c r="AI281" s="143"/>
      <c r="AJ281" s="143"/>
      <c r="AK281" s="143"/>
      <c r="AL281" s="143"/>
      <c r="AM281" s="143"/>
      <c r="AN281" s="248"/>
      <c r="AO281" s="249"/>
      <c r="AP281" s="219"/>
      <c r="AQ281" s="219"/>
      <c r="AR281" s="215"/>
      <c r="AS281" s="194"/>
      <c r="AT281" s="194"/>
      <c r="AU281" s="135"/>
      <c r="AV281" s="143"/>
      <c r="BK281" s="136"/>
      <c r="BL281" s="149"/>
      <c r="BM281" s="136"/>
      <c r="BN281" s="136"/>
      <c r="BO281" s="136"/>
      <c r="BP281" s="176"/>
      <c r="BQ281" s="365"/>
      <c r="BR281" s="176"/>
      <c r="BS281" s="176"/>
      <c r="BT281" s="176"/>
      <c r="BU281" s="176"/>
      <c r="BV281" s="176"/>
      <c r="BW281" s="176"/>
      <c r="BX281" s="176"/>
      <c r="BY281" s="176"/>
      <c r="BZ281" s="176"/>
    </row>
    <row r="282" spans="32:78" ht="18" customHeight="1" x14ac:dyDescent="0.2">
      <c r="AF282" s="143"/>
      <c r="AG282" s="143"/>
      <c r="AH282" s="143"/>
      <c r="AI282" s="143"/>
      <c r="AJ282" s="143"/>
      <c r="AK282" s="143"/>
      <c r="AL282" s="143"/>
      <c r="AM282" s="143"/>
      <c r="AN282" s="232" t="s">
        <v>57</v>
      </c>
      <c r="AO282" s="233"/>
      <c r="AP282" s="234"/>
      <c r="AQ282" s="234"/>
      <c r="AR282" s="235">
        <f>SUM(AR279:AR281)</f>
        <v>5911</v>
      </c>
      <c r="AS282" s="138">
        <f>+AR282/AR277</f>
        <v>4.7761252881653497E-2</v>
      </c>
      <c r="AU282" s="135"/>
      <c r="AV282" s="143"/>
      <c r="BK282" s="136"/>
      <c r="BL282" s="149"/>
      <c r="BM282" s="136"/>
      <c r="BN282" s="136"/>
      <c r="BO282" s="136"/>
      <c r="BP282" s="176"/>
      <c r="BQ282" s="365"/>
      <c r="BR282" s="176"/>
      <c r="BS282" s="176"/>
      <c r="BT282" s="176"/>
      <c r="BU282" s="176"/>
      <c r="BV282" s="176"/>
      <c r="BW282" s="176"/>
      <c r="BX282" s="176"/>
      <c r="BY282" s="176"/>
      <c r="BZ282" s="176"/>
    </row>
    <row r="283" spans="32:78" ht="18" customHeight="1" x14ac:dyDescent="0.2">
      <c r="AF283" s="143"/>
      <c r="AG283" s="143"/>
      <c r="AH283" s="143"/>
      <c r="AI283" s="143"/>
      <c r="AJ283" s="143"/>
      <c r="AK283" s="143"/>
      <c r="AL283" s="143"/>
      <c r="AM283" s="143"/>
      <c r="AN283" s="197" t="s">
        <v>58</v>
      </c>
      <c r="AO283" s="198"/>
      <c r="AP283" s="199"/>
      <c r="AQ283" s="199"/>
      <c r="AR283" s="200"/>
      <c r="AS283" s="153"/>
      <c r="AT283" s="153"/>
      <c r="AU283" s="135"/>
      <c r="AV283" s="143"/>
      <c r="BK283" s="136"/>
      <c r="BL283" s="149"/>
      <c r="BM283" s="136"/>
      <c r="BN283" s="136"/>
      <c r="BO283" s="136"/>
      <c r="BP283" s="176"/>
      <c r="BQ283" s="365"/>
      <c r="BR283" s="176"/>
      <c r="BS283" s="176"/>
      <c r="BT283" s="176"/>
      <c r="BU283" s="176"/>
      <c r="BV283" s="176"/>
      <c r="BW283" s="176"/>
      <c r="BX283" s="176"/>
      <c r="BY283" s="176"/>
      <c r="BZ283" s="176"/>
    </row>
    <row r="284" spans="32:78" ht="18" customHeight="1" x14ac:dyDescent="0.2">
      <c r="AF284" s="143"/>
      <c r="AG284" s="143"/>
      <c r="AH284" s="143"/>
      <c r="AI284" s="143"/>
      <c r="AJ284" s="143"/>
      <c r="AK284" s="143"/>
      <c r="AL284" s="143"/>
      <c r="AM284" s="143"/>
      <c r="AN284" s="252" t="s">
        <v>59</v>
      </c>
      <c r="AO284" s="213" t="s">
        <v>60</v>
      </c>
      <c r="AP284" s="226">
        <v>80</v>
      </c>
      <c r="AQ284" s="226">
        <v>1.9600688000000004</v>
      </c>
      <c r="AR284" s="215">
        <f>+ROUND(AP284*AQ284,2)</f>
        <v>156.81</v>
      </c>
      <c r="AS284" s="194"/>
      <c r="AT284" s="194"/>
      <c r="AU284" s="135"/>
      <c r="AV284" s="143"/>
      <c r="BK284" s="136"/>
      <c r="BL284" s="149"/>
      <c r="BM284" s="136"/>
      <c r="BN284" s="136"/>
      <c r="BO284" s="136"/>
      <c r="BP284" s="176"/>
      <c r="BQ284" s="365"/>
      <c r="BR284" s="176"/>
      <c r="BS284" s="176"/>
      <c r="BT284" s="176"/>
      <c r="BU284" s="176"/>
      <c r="BV284" s="176"/>
      <c r="BW284" s="176"/>
      <c r="BX284" s="176"/>
      <c r="BY284" s="176"/>
      <c r="BZ284" s="176"/>
    </row>
    <row r="285" spans="32:78" ht="18" customHeight="1" x14ac:dyDescent="0.2">
      <c r="AF285" s="143"/>
      <c r="AG285" s="143"/>
      <c r="AH285" s="143"/>
      <c r="AI285" s="143"/>
      <c r="AJ285" s="143"/>
      <c r="AK285" s="143"/>
      <c r="AL285" s="143"/>
      <c r="AM285" s="143"/>
      <c r="AN285" s="202" t="s">
        <v>62</v>
      </c>
      <c r="AO285" s="250"/>
      <c r="AP285" s="168"/>
      <c r="AQ285" s="168"/>
      <c r="AR285" s="251">
        <f>SUM(AR284:AR284)</f>
        <v>156.81</v>
      </c>
      <c r="AS285" s="194"/>
      <c r="AT285" s="194"/>
      <c r="AU285" s="135"/>
      <c r="AV285" s="143"/>
      <c r="BK285" s="136"/>
      <c r="BL285" s="149"/>
      <c r="BM285" s="136"/>
      <c r="BN285" s="136"/>
      <c r="BO285" s="136"/>
      <c r="BP285" s="176"/>
      <c r="BQ285" s="365"/>
      <c r="BR285" s="176"/>
      <c r="BS285" s="176"/>
      <c r="BT285" s="176"/>
      <c r="BU285" s="176"/>
      <c r="BV285" s="176"/>
      <c r="BW285" s="176"/>
      <c r="BX285" s="176"/>
      <c r="BY285" s="176"/>
      <c r="BZ285" s="176"/>
    </row>
    <row r="286" spans="32:78" ht="18" customHeight="1" x14ac:dyDescent="0.2">
      <c r="AF286" s="143"/>
      <c r="AG286" s="143"/>
      <c r="AH286" s="143"/>
      <c r="AI286" s="143"/>
      <c r="AJ286" s="143"/>
      <c r="AK286" s="143"/>
      <c r="AL286" s="143"/>
      <c r="AM286" s="143"/>
      <c r="AN286" s="253" t="s">
        <v>63</v>
      </c>
      <c r="AO286" s="233"/>
      <c r="AP286" s="254" t="s">
        <v>64</v>
      </c>
      <c r="AQ286" s="255"/>
      <c r="AR286" s="256">
        <f>+AR277+AR282+AR285</f>
        <v>129829.22</v>
      </c>
      <c r="AS286" s="194"/>
      <c r="AT286" s="194"/>
      <c r="AU286" s="135"/>
      <c r="AV286" s="143"/>
      <c r="BK286" s="136"/>
      <c r="BL286" s="149"/>
      <c r="BM286" s="136"/>
      <c r="BN286" s="136"/>
      <c r="BO286" s="136"/>
      <c r="BP286" s="176"/>
      <c r="BQ286" s="365"/>
      <c r="BR286" s="176"/>
      <c r="BS286" s="176"/>
      <c r="BT286" s="176"/>
      <c r="BU286" s="176"/>
      <c r="BV286" s="176"/>
      <c r="BW286" s="176"/>
      <c r="BX286" s="176"/>
      <c r="BY286" s="176"/>
      <c r="BZ286" s="176"/>
    </row>
    <row r="287" spans="32:78" ht="18" customHeight="1" x14ac:dyDescent="0.2">
      <c r="AF287" s="143"/>
      <c r="AG287" s="143"/>
      <c r="AH287" s="143"/>
      <c r="AI287" s="143"/>
      <c r="AJ287" s="143"/>
      <c r="AK287" s="143"/>
      <c r="AL287" s="143"/>
      <c r="AM287" s="143"/>
      <c r="AN287" s="152"/>
      <c r="AO287" s="153"/>
      <c r="AP287" s="145"/>
      <c r="AQ287" s="145"/>
      <c r="AR287" s="145"/>
      <c r="AS287" s="154"/>
      <c r="AT287" s="154"/>
      <c r="AU287" s="135"/>
      <c r="AV287" s="143"/>
      <c r="BK287" s="136"/>
      <c r="BL287" s="149"/>
      <c r="BM287" s="136"/>
      <c r="BN287" s="136"/>
      <c r="BO287" s="136"/>
      <c r="BP287" s="176"/>
      <c r="BQ287" s="365"/>
      <c r="BR287" s="176"/>
      <c r="BS287" s="176"/>
      <c r="BT287" s="176"/>
      <c r="BU287" s="176"/>
      <c r="BV287" s="176"/>
      <c r="BW287" s="176"/>
      <c r="BX287" s="176"/>
      <c r="BY287" s="176"/>
      <c r="BZ287" s="176"/>
    </row>
    <row r="288" spans="32:78" ht="18" customHeight="1" x14ac:dyDescent="0.2">
      <c r="AF288" s="143"/>
      <c r="AG288" s="143"/>
      <c r="AH288" s="143"/>
      <c r="AI288" s="143"/>
      <c r="AJ288" s="143"/>
      <c r="AK288" s="143"/>
      <c r="AL288" s="143"/>
      <c r="AM288" s="143"/>
      <c r="AN288" s="155" t="s">
        <v>399</v>
      </c>
      <c r="AO288" s="169"/>
      <c r="AP288" s="172"/>
      <c r="AQ288" s="172"/>
      <c r="AR288" s="173"/>
      <c r="AS288" s="154"/>
      <c r="AT288" s="154"/>
      <c r="AU288" s="135"/>
      <c r="AV288" s="143"/>
      <c r="BK288" s="136"/>
      <c r="BL288" s="149"/>
      <c r="BM288" s="136"/>
      <c r="BN288" s="136"/>
      <c r="BO288" s="136"/>
      <c r="BP288" s="176"/>
      <c r="BQ288" s="365"/>
      <c r="BR288" s="176"/>
      <c r="BS288" s="176"/>
      <c r="BT288" s="176"/>
      <c r="BU288" s="176"/>
      <c r="BV288" s="176"/>
      <c r="BW288" s="176"/>
      <c r="BX288" s="176"/>
      <c r="BY288" s="176"/>
      <c r="BZ288" s="176"/>
    </row>
    <row r="289" spans="32:78" ht="18" customHeight="1" x14ac:dyDescent="0.2">
      <c r="AF289" s="143"/>
      <c r="AG289" s="143"/>
      <c r="AH289" s="143"/>
      <c r="AI289" s="143"/>
      <c r="AJ289" s="143"/>
      <c r="AK289" s="143"/>
      <c r="AL289" s="143"/>
      <c r="AM289" s="143"/>
      <c r="AN289" s="177" t="s">
        <v>404</v>
      </c>
      <c r="AO289" s="150"/>
      <c r="AP289" s="178"/>
      <c r="AQ289" s="149"/>
      <c r="AR289" s="179" t="str">
        <f>$G$77</f>
        <v>Un</v>
      </c>
      <c r="AS289" s="180">
        <f>$H$77</f>
        <v>1</v>
      </c>
      <c r="AT289" s="180"/>
      <c r="AU289" s="135"/>
      <c r="AV289" s="143"/>
      <c r="BK289" s="136"/>
      <c r="BL289" s="149"/>
      <c r="BM289" s="136"/>
      <c r="BN289" s="136"/>
      <c r="BO289" s="136"/>
      <c r="BP289" s="176"/>
      <c r="BQ289" s="365"/>
      <c r="BR289" s="176"/>
      <c r="BS289" s="176"/>
      <c r="BT289" s="176"/>
      <c r="BU289" s="176"/>
      <c r="BV289" s="176"/>
      <c r="BW289" s="176"/>
      <c r="BX289" s="176"/>
      <c r="BY289" s="176"/>
      <c r="BZ289" s="176"/>
    </row>
    <row r="290" spans="32:78" ht="18" customHeight="1" thickBot="1" x14ac:dyDescent="0.25">
      <c r="AF290" s="143"/>
      <c r="AG290" s="143"/>
      <c r="AH290" s="143"/>
      <c r="AI290" s="143"/>
      <c r="AJ290" s="143"/>
      <c r="AK290" s="143"/>
      <c r="AL290" s="143"/>
      <c r="AM290" s="143"/>
      <c r="AN290" s="183"/>
      <c r="AO290" s="184"/>
      <c r="AP290" s="185"/>
      <c r="AQ290" s="185"/>
      <c r="AR290" s="186"/>
      <c r="AU290" s="135"/>
      <c r="AV290" s="143"/>
      <c r="BK290" s="136"/>
      <c r="BL290" s="149"/>
      <c r="BM290" s="136"/>
      <c r="BN290" s="136"/>
      <c r="BO290" s="136"/>
      <c r="BP290" s="176"/>
      <c r="BQ290" s="365"/>
      <c r="BR290" s="176"/>
      <c r="BS290" s="176"/>
      <c r="BT290" s="176"/>
      <c r="BU290" s="176"/>
      <c r="BV290" s="176"/>
      <c r="BW290" s="176"/>
      <c r="BX290" s="176"/>
      <c r="BY290" s="176"/>
      <c r="BZ290" s="176"/>
    </row>
    <row r="291" spans="32:78" ht="18" customHeight="1" thickTop="1" x14ac:dyDescent="0.2">
      <c r="AF291" s="143"/>
      <c r="AG291" s="143"/>
      <c r="AH291" s="143"/>
      <c r="AI291" s="143"/>
      <c r="AJ291" s="143"/>
      <c r="AK291" s="143"/>
      <c r="AL291" s="143"/>
      <c r="AM291" s="143"/>
      <c r="AN291" s="191" t="s">
        <v>31</v>
      </c>
      <c r="AO291" s="192" t="s">
        <v>32</v>
      </c>
      <c r="AP291" s="192" t="s">
        <v>33</v>
      </c>
      <c r="AQ291" s="192" t="s">
        <v>1</v>
      </c>
      <c r="AR291" s="192" t="s">
        <v>34</v>
      </c>
      <c r="AS291" s="193" t="s">
        <v>76</v>
      </c>
      <c r="AT291" s="153"/>
      <c r="AU291" s="135"/>
      <c r="AV291" s="143"/>
      <c r="BK291" s="136"/>
      <c r="BL291" s="149"/>
      <c r="BM291" s="136"/>
      <c r="BN291" s="136"/>
      <c r="BO291" s="136"/>
      <c r="BP291" s="176"/>
      <c r="BQ291" s="365"/>
      <c r="BR291" s="176"/>
      <c r="BS291" s="176"/>
      <c r="BT291" s="176"/>
      <c r="BU291" s="176"/>
      <c r="BV291" s="176"/>
      <c r="BW291" s="176"/>
      <c r="BX291" s="176"/>
      <c r="BY291" s="176"/>
      <c r="BZ291" s="176"/>
    </row>
    <row r="292" spans="32:78" ht="18" customHeight="1" x14ac:dyDescent="0.2">
      <c r="AF292" s="143"/>
      <c r="AG292" s="143"/>
      <c r="AH292" s="143"/>
      <c r="AI292" s="143"/>
      <c r="AJ292" s="143"/>
      <c r="AK292" s="143"/>
      <c r="AL292" s="143"/>
      <c r="AM292" s="143"/>
      <c r="AN292" s="197" t="s">
        <v>37</v>
      </c>
      <c r="AO292" s="198"/>
      <c r="AP292" s="199"/>
      <c r="AQ292" s="199"/>
      <c r="AR292" s="200"/>
      <c r="AS292" s="201"/>
      <c r="AT292" s="194"/>
      <c r="AU292" s="135"/>
      <c r="AV292" s="143"/>
      <c r="BK292" s="136"/>
      <c r="BL292" s="149"/>
      <c r="BM292" s="136"/>
      <c r="BN292" s="136"/>
      <c r="BO292" s="136"/>
      <c r="BP292" s="176"/>
      <c r="BQ292" s="365"/>
      <c r="BR292" s="176"/>
      <c r="BS292" s="176"/>
      <c r="BT292" s="176"/>
      <c r="BU292" s="176"/>
      <c r="BV292" s="176"/>
      <c r="BW292" s="176"/>
      <c r="BX292" s="176"/>
      <c r="BY292" s="176"/>
      <c r="BZ292" s="176"/>
    </row>
    <row r="293" spans="32:78" ht="18" customHeight="1" x14ac:dyDescent="0.2">
      <c r="AF293" s="143"/>
      <c r="AG293" s="143"/>
      <c r="AH293" s="143"/>
      <c r="AI293" s="143"/>
      <c r="AJ293" s="143"/>
      <c r="AK293" s="143"/>
      <c r="AL293" s="143"/>
      <c r="AM293" s="143"/>
      <c r="AN293" s="216" t="s">
        <v>404</v>
      </c>
      <c r="AO293" s="213" t="s">
        <v>28</v>
      </c>
      <c r="AP293" s="214">
        <v>1</v>
      </c>
      <c r="AQ293" s="214">
        <v>1113712.9668000001</v>
      </c>
      <c r="AR293" s="215">
        <f>+ROUND(AP293*AQ293,2)</f>
        <v>1113712.97</v>
      </c>
      <c r="AS293" s="201"/>
      <c r="AT293" s="194"/>
      <c r="AU293" s="135"/>
      <c r="AV293" s="143"/>
      <c r="BK293" s="136"/>
      <c r="BL293" s="149"/>
      <c r="BM293" s="136"/>
      <c r="BN293" s="136"/>
      <c r="BO293" s="136"/>
      <c r="BP293" s="176"/>
      <c r="BQ293" s="365"/>
      <c r="BR293" s="176"/>
      <c r="BS293" s="176"/>
      <c r="BT293" s="176"/>
      <c r="BU293" s="176"/>
      <c r="BV293" s="176"/>
      <c r="BW293" s="176"/>
      <c r="BX293" s="176"/>
      <c r="BY293" s="176"/>
      <c r="BZ293" s="176"/>
    </row>
    <row r="294" spans="32:78" ht="18" customHeight="1" x14ac:dyDescent="0.2">
      <c r="AF294" s="143"/>
      <c r="AG294" s="143"/>
      <c r="AH294" s="143"/>
      <c r="AI294" s="143"/>
      <c r="AJ294" s="143"/>
      <c r="AK294" s="143"/>
      <c r="AL294" s="143"/>
      <c r="AM294" s="143"/>
      <c r="AN294" s="216" t="s">
        <v>323</v>
      </c>
      <c r="AO294" s="213" t="s">
        <v>28</v>
      </c>
      <c r="AP294" s="214">
        <v>1</v>
      </c>
      <c r="AQ294" s="214">
        <v>33411.3891</v>
      </c>
      <c r="AR294" s="215">
        <f>+ROUND(AP294*AQ294,2)</f>
        <v>33411.39</v>
      </c>
      <c r="AS294" s="201"/>
      <c r="AT294" s="194"/>
      <c r="AU294" s="135"/>
      <c r="AV294" s="143"/>
      <c r="BK294" s="136"/>
      <c r="BL294" s="149"/>
      <c r="BM294" s="136"/>
      <c r="BN294" s="136"/>
      <c r="BO294" s="136"/>
      <c r="BP294" s="176"/>
      <c r="BQ294" s="365"/>
      <c r="BR294" s="176"/>
      <c r="BS294" s="176"/>
      <c r="BT294" s="176"/>
      <c r="BU294" s="176"/>
      <c r="BV294" s="176"/>
      <c r="BW294" s="176"/>
      <c r="BX294" s="176"/>
      <c r="BY294" s="176"/>
      <c r="BZ294" s="176"/>
    </row>
    <row r="295" spans="32:78" ht="18" customHeight="1" x14ac:dyDescent="0.2">
      <c r="AF295" s="143"/>
      <c r="AG295" s="143"/>
      <c r="AH295" s="143"/>
      <c r="AI295" s="143"/>
      <c r="AJ295" s="143"/>
      <c r="AK295" s="143"/>
      <c r="AL295" s="143"/>
      <c r="AM295" s="143"/>
      <c r="AN295" s="224" t="s">
        <v>50</v>
      </c>
      <c r="AO295" s="225" t="s">
        <v>28</v>
      </c>
      <c r="AP295" s="226">
        <v>0.03</v>
      </c>
      <c r="AQ295" s="219">
        <v>1147124.3599999999</v>
      </c>
      <c r="AR295" s="215">
        <f>+ROUND(AP295*AQ295,2)</f>
        <v>34413.730000000003</v>
      </c>
      <c r="AS295" s="201"/>
      <c r="AT295" s="194"/>
      <c r="AU295" s="135"/>
      <c r="AV295" s="143"/>
      <c r="BK295" s="136"/>
      <c r="BL295" s="149"/>
      <c r="BM295" s="136"/>
      <c r="BN295" s="136"/>
      <c r="BO295" s="136"/>
      <c r="BP295" s="176"/>
      <c r="BQ295" s="365"/>
      <c r="BR295" s="176"/>
      <c r="BS295" s="176"/>
      <c r="BT295" s="176"/>
      <c r="BU295" s="176"/>
      <c r="BV295" s="176"/>
      <c r="BW295" s="176"/>
      <c r="BX295" s="176"/>
      <c r="BY295" s="176"/>
      <c r="BZ295" s="176"/>
    </row>
    <row r="296" spans="32:78" ht="18" customHeight="1" x14ac:dyDescent="0.2">
      <c r="AF296" s="143"/>
      <c r="AG296" s="143"/>
      <c r="AH296" s="143"/>
      <c r="AI296" s="143"/>
      <c r="AJ296" s="143"/>
      <c r="AK296" s="143"/>
      <c r="AL296" s="143"/>
      <c r="AM296" s="143"/>
      <c r="AN296" s="232" t="s">
        <v>51</v>
      </c>
      <c r="AO296" s="233"/>
      <c r="AP296" s="234"/>
      <c r="AQ296" s="234"/>
      <c r="AR296" s="235">
        <f>SUM(AR293:AR295)</f>
        <v>1181538.0899999999</v>
      </c>
      <c r="AS296" s="235"/>
      <c r="AU296" s="135"/>
      <c r="AV296" s="143"/>
      <c r="BK296" s="136"/>
      <c r="BL296" s="149"/>
      <c r="BM296" s="136"/>
      <c r="BN296" s="136"/>
      <c r="BO296" s="136"/>
      <c r="BP296" s="176"/>
      <c r="BQ296" s="365"/>
      <c r="BR296" s="176"/>
      <c r="BS296" s="176"/>
      <c r="BT296" s="176"/>
      <c r="BU296" s="176"/>
      <c r="BV296" s="176"/>
      <c r="BW296" s="176"/>
      <c r="BX296" s="176"/>
      <c r="BY296" s="176"/>
      <c r="BZ296" s="176"/>
    </row>
    <row r="297" spans="32:78" ht="18" customHeight="1" x14ac:dyDescent="0.2">
      <c r="AF297" s="143"/>
      <c r="AG297" s="143"/>
      <c r="AH297" s="143"/>
      <c r="AI297" s="143"/>
      <c r="AJ297" s="143"/>
      <c r="AK297" s="143"/>
      <c r="AL297" s="143"/>
      <c r="AM297" s="143"/>
      <c r="AN297" s="197" t="s">
        <v>53</v>
      </c>
      <c r="AO297" s="198"/>
      <c r="AP297" s="199"/>
      <c r="AQ297" s="199"/>
      <c r="AR297" s="200"/>
      <c r="AS297" s="153"/>
      <c r="AT297" s="153"/>
      <c r="AU297" s="135"/>
      <c r="AV297" s="143"/>
      <c r="BK297" s="136"/>
      <c r="BL297" s="149"/>
      <c r="BM297" s="136"/>
      <c r="BN297" s="136"/>
      <c r="BO297" s="136"/>
      <c r="BP297" s="176"/>
      <c r="BQ297" s="365"/>
      <c r="BR297" s="176"/>
      <c r="BS297" s="176"/>
      <c r="BT297" s="176"/>
      <c r="BU297" s="176"/>
      <c r="BV297" s="176"/>
      <c r="BW297" s="176"/>
      <c r="BX297" s="176"/>
      <c r="BY297" s="176"/>
      <c r="BZ297" s="176"/>
    </row>
    <row r="298" spans="32:78" ht="18" customHeight="1" x14ac:dyDescent="0.2">
      <c r="AF298" s="143"/>
      <c r="AG298" s="143"/>
      <c r="AH298" s="143"/>
      <c r="AI298" s="143"/>
      <c r="AJ298" s="143"/>
      <c r="AK298" s="143"/>
      <c r="AL298" s="143"/>
      <c r="AM298" s="143"/>
      <c r="AN298" s="224" t="s">
        <v>54</v>
      </c>
      <c r="AO298" s="225" t="s">
        <v>55</v>
      </c>
      <c r="AP298" s="226">
        <v>8</v>
      </c>
      <c r="AQ298" s="226">
        <v>1600.8</v>
      </c>
      <c r="AR298" s="215">
        <f>+ROUND(AP298*AQ298,2)</f>
        <v>12806.4</v>
      </c>
      <c r="AS298" s="194"/>
      <c r="AT298" s="194"/>
      <c r="AU298" s="135"/>
      <c r="AV298" s="143"/>
      <c r="BK298" s="136"/>
      <c r="BL298" s="149"/>
      <c r="BM298" s="136"/>
      <c r="BN298" s="136"/>
      <c r="BO298" s="136"/>
      <c r="BP298" s="176"/>
      <c r="BQ298" s="365"/>
      <c r="BR298" s="176"/>
      <c r="BS298" s="176"/>
      <c r="BT298" s="176"/>
      <c r="BU298" s="176"/>
      <c r="BV298" s="176"/>
      <c r="BW298" s="176"/>
      <c r="BX298" s="176"/>
      <c r="BY298" s="176"/>
      <c r="BZ298" s="176"/>
    </row>
    <row r="299" spans="32:78" ht="18" customHeight="1" x14ac:dyDescent="0.2">
      <c r="AF299" s="143"/>
      <c r="AG299" s="143"/>
      <c r="AH299" s="143"/>
      <c r="AI299" s="143"/>
      <c r="AJ299" s="143"/>
      <c r="AK299" s="143"/>
      <c r="AL299" s="143"/>
      <c r="AM299" s="143"/>
      <c r="AN299" s="224" t="s">
        <v>56</v>
      </c>
      <c r="AO299" s="225" t="s">
        <v>55</v>
      </c>
      <c r="AP299" s="226">
        <v>4</v>
      </c>
      <c r="AQ299" s="226">
        <v>1354.6999999999998</v>
      </c>
      <c r="AR299" s="215">
        <f>+ROUND(AP299*AQ299,2)</f>
        <v>5418.8</v>
      </c>
      <c r="AS299" s="194"/>
      <c r="AT299" s="194"/>
      <c r="AU299" s="135"/>
      <c r="AV299" s="143"/>
      <c r="BK299" s="136"/>
      <c r="BL299" s="149"/>
      <c r="BM299" s="136"/>
      <c r="BN299" s="136"/>
      <c r="BO299" s="136"/>
      <c r="BP299" s="176"/>
      <c r="BQ299" s="365"/>
      <c r="BR299" s="176"/>
      <c r="BS299" s="176"/>
      <c r="BT299" s="176"/>
      <c r="BU299" s="176"/>
      <c r="BV299" s="176"/>
      <c r="BW299" s="176"/>
      <c r="BX299" s="176"/>
      <c r="BY299" s="176"/>
      <c r="BZ299" s="176"/>
    </row>
    <row r="300" spans="32:78" ht="18" customHeight="1" x14ac:dyDescent="0.2">
      <c r="AF300" s="143"/>
      <c r="AG300" s="143"/>
      <c r="AH300" s="143"/>
      <c r="AI300" s="143"/>
      <c r="AJ300" s="143"/>
      <c r="AK300" s="143"/>
      <c r="AL300" s="143"/>
      <c r="AM300" s="143"/>
      <c r="AN300" s="248"/>
      <c r="AO300" s="249"/>
      <c r="AP300" s="219"/>
      <c r="AQ300" s="219"/>
      <c r="AR300" s="215"/>
      <c r="AS300" s="194"/>
      <c r="AT300" s="194"/>
      <c r="AU300" s="135"/>
      <c r="AV300" s="143"/>
      <c r="BK300" s="136"/>
      <c r="BL300" s="149"/>
      <c r="BM300" s="136"/>
      <c r="BN300" s="136"/>
      <c r="BO300" s="136"/>
      <c r="BP300" s="176"/>
      <c r="BQ300" s="365"/>
      <c r="BR300" s="176"/>
      <c r="BS300" s="176"/>
      <c r="BT300" s="176"/>
      <c r="BU300" s="176"/>
      <c r="BV300" s="176"/>
      <c r="BW300" s="176"/>
      <c r="BX300" s="176"/>
      <c r="BY300" s="176"/>
      <c r="BZ300" s="176"/>
    </row>
    <row r="301" spans="32:78" ht="18" customHeight="1" x14ac:dyDescent="0.2">
      <c r="AF301" s="143"/>
      <c r="AG301" s="143"/>
      <c r="AH301" s="143"/>
      <c r="AI301" s="143"/>
      <c r="AJ301" s="143"/>
      <c r="AK301" s="143"/>
      <c r="AL301" s="143"/>
      <c r="AM301" s="143"/>
      <c r="AN301" s="232" t="s">
        <v>57</v>
      </c>
      <c r="AO301" s="233"/>
      <c r="AP301" s="234"/>
      <c r="AQ301" s="234"/>
      <c r="AR301" s="235">
        <f>SUM(AR298:AR300)</f>
        <v>18225.2</v>
      </c>
      <c r="AS301" s="138">
        <f>+AR301/AR296</f>
        <v>1.5424978808766126E-2</v>
      </c>
      <c r="AU301" s="135"/>
      <c r="AV301" s="143"/>
      <c r="BK301" s="136"/>
      <c r="BL301" s="149"/>
      <c r="BM301" s="136"/>
      <c r="BN301" s="136"/>
      <c r="BO301" s="136"/>
      <c r="BP301" s="176"/>
      <c r="BQ301" s="365"/>
      <c r="BR301" s="176"/>
      <c r="BS301" s="176"/>
      <c r="BT301" s="176"/>
      <c r="BU301" s="176"/>
      <c r="BV301" s="176"/>
      <c r="BW301" s="176"/>
      <c r="BX301" s="176"/>
      <c r="BY301" s="176"/>
      <c r="BZ301" s="176"/>
    </row>
    <row r="302" spans="32:78" ht="18" customHeight="1" x14ac:dyDescent="0.2">
      <c r="AF302" s="143"/>
      <c r="AG302" s="174"/>
      <c r="AH302" s="174"/>
      <c r="AI302" s="174"/>
      <c r="AJ302" s="174"/>
      <c r="AK302" s="174"/>
      <c r="AL302" s="174"/>
      <c r="AM302" s="174"/>
      <c r="AN302" s="197" t="s">
        <v>58</v>
      </c>
      <c r="AO302" s="198"/>
      <c r="AP302" s="199"/>
      <c r="AQ302" s="199"/>
      <c r="AR302" s="200"/>
      <c r="AS302" s="153"/>
      <c r="AT302" s="153"/>
      <c r="AU302" s="135"/>
      <c r="AV302" s="143"/>
      <c r="BK302" s="136"/>
      <c r="BL302" s="149"/>
      <c r="BM302" s="136"/>
      <c r="BN302" s="136"/>
      <c r="BO302" s="136"/>
      <c r="BP302" s="176"/>
      <c r="BQ302" s="365"/>
      <c r="BR302" s="176"/>
      <c r="BS302" s="176"/>
      <c r="BT302" s="176"/>
      <c r="BU302" s="176"/>
      <c r="BV302" s="176"/>
      <c r="BW302" s="176"/>
      <c r="BX302" s="176"/>
      <c r="BY302" s="176"/>
      <c r="BZ302" s="176"/>
    </row>
    <row r="303" spans="32:78" ht="18" customHeight="1" x14ac:dyDescent="0.2">
      <c r="AF303" s="174"/>
      <c r="AG303" s="143"/>
      <c r="AH303" s="143"/>
      <c r="AI303" s="143"/>
      <c r="AJ303" s="143"/>
      <c r="AK303" s="143"/>
      <c r="AL303" s="143"/>
      <c r="AM303" s="143"/>
      <c r="AN303" s="252" t="s">
        <v>59</v>
      </c>
      <c r="AO303" s="213" t="s">
        <v>60</v>
      </c>
      <c r="AP303" s="226">
        <v>400</v>
      </c>
      <c r="AQ303" s="226">
        <v>1.9600688000000004</v>
      </c>
      <c r="AR303" s="215">
        <f>+ROUND(AP303*AQ303,2)</f>
        <v>784.03</v>
      </c>
      <c r="AS303" s="194"/>
      <c r="AT303" s="194"/>
      <c r="AU303" s="135"/>
      <c r="AV303" s="143"/>
      <c r="BK303" s="136"/>
      <c r="BL303" s="149"/>
      <c r="BM303" s="136"/>
      <c r="BN303" s="136"/>
      <c r="BO303" s="136"/>
      <c r="BP303" s="176"/>
      <c r="BQ303" s="365"/>
      <c r="BR303" s="176"/>
      <c r="BS303" s="176"/>
      <c r="BT303" s="176"/>
      <c r="BU303" s="176"/>
      <c r="BV303" s="176"/>
      <c r="BW303" s="176"/>
      <c r="BX303" s="176"/>
      <c r="BY303" s="176"/>
      <c r="BZ303" s="176"/>
    </row>
    <row r="304" spans="32:78" ht="18" customHeight="1" x14ac:dyDescent="0.2">
      <c r="AF304" s="143"/>
      <c r="AG304" s="143"/>
      <c r="AH304" s="143"/>
      <c r="AI304" s="143"/>
      <c r="AJ304" s="143"/>
      <c r="AK304" s="143"/>
      <c r="AL304" s="143"/>
      <c r="AM304" s="143"/>
      <c r="AN304" s="202" t="s">
        <v>62</v>
      </c>
      <c r="AO304" s="250"/>
      <c r="AP304" s="168"/>
      <c r="AQ304" s="168"/>
      <c r="AR304" s="251">
        <f>SUM(AR303:AR303)</f>
        <v>784.03</v>
      </c>
      <c r="AS304" s="194"/>
      <c r="AT304" s="194"/>
      <c r="AU304" s="135"/>
      <c r="AV304" s="143"/>
      <c r="BK304" s="136"/>
      <c r="BL304" s="149"/>
      <c r="BM304" s="136"/>
      <c r="BN304" s="136"/>
      <c r="BO304" s="136"/>
      <c r="BP304" s="176"/>
      <c r="BQ304" s="365"/>
      <c r="BR304" s="176"/>
      <c r="BS304" s="176"/>
      <c r="BT304" s="176"/>
      <c r="BU304" s="176"/>
      <c r="BV304" s="176"/>
      <c r="BW304" s="176"/>
      <c r="BX304" s="176"/>
      <c r="BY304" s="176"/>
      <c r="BZ304" s="176"/>
    </row>
    <row r="305" spans="32:78" ht="18" customHeight="1" x14ac:dyDescent="0.2">
      <c r="AF305" s="143"/>
      <c r="AG305" s="143"/>
      <c r="AH305" s="143"/>
      <c r="AI305" s="143"/>
      <c r="AJ305" s="143"/>
      <c r="AK305" s="143"/>
      <c r="AL305" s="143"/>
      <c r="AM305" s="143"/>
      <c r="AN305" s="253" t="s">
        <v>63</v>
      </c>
      <c r="AO305" s="233"/>
      <c r="AP305" s="254" t="s">
        <v>64</v>
      </c>
      <c r="AQ305" s="255"/>
      <c r="AR305" s="256">
        <f>+AR296+AR301+AR304</f>
        <v>1200547.3199999998</v>
      </c>
      <c r="AS305" s="194"/>
      <c r="AT305" s="194"/>
      <c r="AU305" s="135"/>
      <c r="AV305" s="143"/>
      <c r="BK305" s="136"/>
      <c r="BL305" s="149"/>
      <c r="BM305" s="136"/>
      <c r="BN305" s="136"/>
      <c r="BO305" s="136"/>
      <c r="BP305" s="176"/>
      <c r="BQ305" s="365"/>
      <c r="BR305" s="176"/>
      <c r="BS305" s="176"/>
      <c r="BT305" s="176"/>
      <c r="BU305" s="176"/>
      <c r="BV305" s="176"/>
      <c r="BW305" s="176"/>
      <c r="BX305" s="176"/>
      <c r="BY305" s="176"/>
      <c r="BZ305" s="176"/>
    </row>
    <row r="306" spans="32:78" ht="18" customHeight="1" x14ac:dyDescent="0.2">
      <c r="AF306" s="143"/>
      <c r="AG306" s="143"/>
      <c r="AH306" s="143"/>
      <c r="AI306" s="143"/>
      <c r="AJ306" s="143"/>
      <c r="AK306" s="143"/>
      <c r="AL306" s="143"/>
      <c r="AM306" s="143"/>
      <c r="AN306" s="152"/>
      <c r="AO306" s="153"/>
      <c r="AP306" s="145"/>
      <c r="AQ306" s="145"/>
      <c r="AR306" s="145"/>
      <c r="AS306" s="154"/>
      <c r="AT306" s="154"/>
      <c r="AU306" s="135"/>
      <c r="AV306" s="143"/>
      <c r="BK306" s="136"/>
      <c r="BL306" s="149"/>
      <c r="BM306" s="136"/>
      <c r="BN306" s="136"/>
      <c r="BO306" s="136"/>
      <c r="BP306" s="176"/>
      <c r="BQ306" s="365"/>
      <c r="BR306" s="176"/>
      <c r="BS306" s="176"/>
      <c r="BT306" s="176"/>
      <c r="BU306" s="176"/>
      <c r="BV306" s="176"/>
      <c r="BW306" s="176"/>
      <c r="BX306" s="176"/>
      <c r="BY306" s="176"/>
      <c r="BZ306" s="176"/>
    </row>
    <row r="307" spans="32:78" ht="18" customHeight="1" x14ac:dyDescent="0.2">
      <c r="AF307" s="143"/>
      <c r="AG307" s="143"/>
      <c r="AH307" s="143"/>
      <c r="AI307" s="143"/>
      <c r="AJ307" s="143"/>
      <c r="AK307" s="143"/>
      <c r="AL307" s="143"/>
      <c r="AM307" s="143"/>
      <c r="AN307" s="155" t="s">
        <v>399</v>
      </c>
      <c r="AO307" s="169"/>
      <c r="AP307" s="172"/>
      <c r="AQ307" s="172"/>
      <c r="AR307" s="173"/>
      <c r="AS307" s="154"/>
      <c r="AT307" s="154"/>
      <c r="AU307" s="135"/>
      <c r="AV307" s="143"/>
      <c r="BK307" s="136"/>
      <c r="BL307" s="149"/>
      <c r="BM307" s="136"/>
      <c r="BN307" s="136"/>
      <c r="BO307" s="136"/>
      <c r="BP307" s="176"/>
      <c r="BQ307" s="365"/>
      <c r="BR307" s="176"/>
      <c r="BS307" s="176"/>
      <c r="BT307" s="176"/>
      <c r="BU307" s="176"/>
      <c r="BV307" s="176"/>
      <c r="BW307" s="176"/>
      <c r="BX307" s="176"/>
      <c r="BY307" s="176"/>
      <c r="BZ307" s="176"/>
    </row>
    <row r="308" spans="32:78" ht="18" customHeight="1" x14ac:dyDescent="0.2">
      <c r="AF308" s="143"/>
      <c r="AG308" s="143"/>
      <c r="AH308" s="143"/>
      <c r="AI308" s="143"/>
      <c r="AJ308" s="143"/>
      <c r="AK308" s="143"/>
      <c r="AL308" s="143"/>
      <c r="AM308" s="143"/>
      <c r="AN308" s="177" t="s">
        <v>405</v>
      </c>
      <c r="AO308" s="150"/>
      <c r="AP308" s="178"/>
      <c r="AQ308" s="149"/>
      <c r="AR308" s="179" t="str">
        <f>$G$78</f>
        <v>Un</v>
      </c>
      <c r="AS308" s="180">
        <f>$H$78</f>
        <v>1</v>
      </c>
      <c r="AT308" s="180"/>
      <c r="AU308" s="135"/>
      <c r="AV308" s="143"/>
      <c r="BK308" s="136"/>
      <c r="BL308" s="149"/>
      <c r="BM308" s="136"/>
      <c r="BN308" s="136"/>
      <c r="BO308" s="136"/>
      <c r="BP308" s="176"/>
      <c r="BQ308" s="369"/>
      <c r="BR308" s="176"/>
      <c r="BS308" s="176"/>
      <c r="BT308" s="176"/>
      <c r="BU308" s="176"/>
      <c r="BV308" s="176"/>
      <c r="BW308" s="176"/>
      <c r="BX308" s="176"/>
      <c r="BY308" s="176"/>
      <c r="BZ308" s="176"/>
    </row>
    <row r="309" spans="32:78" ht="18" customHeight="1" thickBot="1" x14ac:dyDescent="0.25">
      <c r="AF309" s="143"/>
      <c r="AG309" s="143"/>
      <c r="AH309" s="143"/>
      <c r="AI309" s="143"/>
      <c r="AJ309" s="143"/>
      <c r="AK309" s="143"/>
      <c r="AL309" s="143"/>
      <c r="AM309" s="143"/>
      <c r="AN309" s="183"/>
      <c r="AO309" s="184"/>
      <c r="AP309" s="185"/>
      <c r="AQ309" s="185"/>
      <c r="AR309" s="186"/>
      <c r="AU309" s="135"/>
      <c r="AV309" s="143"/>
      <c r="BK309" s="136"/>
      <c r="BL309" s="149"/>
      <c r="BM309" s="136"/>
      <c r="BN309" s="136"/>
      <c r="BO309" s="136"/>
      <c r="BP309" s="176"/>
      <c r="BQ309" s="369"/>
      <c r="BR309" s="176"/>
      <c r="BS309" s="176"/>
      <c r="BT309" s="176"/>
      <c r="BU309" s="176"/>
      <c r="BV309" s="176"/>
      <c r="BW309" s="176"/>
      <c r="BX309" s="176"/>
      <c r="BY309" s="176"/>
      <c r="BZ309" s="176"/>
    </row>
    <row r="310" spans="32:78" ht="18" customHeight="1" thickTop="1" x14ac:dyDescent="0.2">
      <c r="AF310" s="143"/>
      <c r="AG310" s="143"/>
      <c r="AH310" s="143"/>
      <c r="AI310" s="143"/>
      <c r="AJ310" s="143"/>
      <c r="AK310" s="143"/>
      <c r="AL310" s="143"/>
      <c r="AM310" s="143"/>
      <c r="AN310" s="191" t="s">
        <v>31</v>
      </c>
      <c r="AO310" s="192" t="s">
        <v>32</v>
      </c>
      <c r="AP310" s="192" t="s">
        <v>33</v>
      </c>
      <c r="AQ310" s="192" t="s">
        <v>1</v>
      </c>
      <c r="AR310" s="192" t="s">
        <v>34</v>
      </c>
      <c r="AS310" s="193" t="s">
        <v>76</v>
      </c>
      <c r="AT310" s="153"/>
      <c r="AU310" s="135"/>
      <c r="AV310" s="143"/>
      <c r="BK310" s="136"/>
      <c r="BL310" s="149"/>
      <c r="BM310" s="136"/>
      <c r="BN310" s="136"/>
      <c r="BO310" s="136"/>
      <c r="BP310" s="176"/>
      <c r="BQ310" s="369"/>
      <c r="BR310" s="176"/>
      <c r="BS310" s="176"/>
      <c r="BT310" s="176"/>
      <c r="BU310" s="176"/>
      <c r="BV310" s="176"/>
      <c r="BW310" s="176"/>
      <c r="BX310" s="176"/>
      <c r="BY310" s="176"/>
      <c r="BZ310" s="176"/>
    </row>
    <row r="311" spans="32:78" ht="18" customHeight="1" x14ac:dyDescent="0.2">
      <c r="AF311" s="143"/>
      <c r="AG311" s="143"/>
      <c r="AH311" s="143"/>
      <c r="AI311" s="143"/>
      <c r="AJ311" s="143"/>
      <c r="AK311" s="143"/>
      <c r="AL311" s="143"/>
      <c r="AM311" s="143"/>
      <c r="AN311" s="197" t="s">
        <v>37</v>
      </c>
      <c r="AO311" s="198"/>
      <c r="AP311" s="199"/>
      <c r="AQ311" s="199"/>
      <c r="AR311" s="200"/>
      <c r="AS311" s="201"/>
      <c r="AT311" s="194"/>
      <c r="AU311" s="135"/>
      <c r="AV311" s="143"/>
      <c r="BK311" s="136"/>
      <c r="BL311" s="149"/>
      <c r="BM311" s="136"/>
      <c r="BN311" s="136"/>
      <c r="BO311" s="136"/>
      <c r="BP311" s="176"/>
      <c r="BQ311" s="365"/>
      <c r="BR311" s="176"/>
      <c r="BS311" s="176"/>
      <c r="BT311" s="176"/>
      <c r="BU311" s="176"/>
      <c r="BV311" s="176"/>
      <c r="BW311" s="176"/>
      <c r="BX311" s="176"/>
      <c r="BY311" s="176"/>
      <c r="BZ311" s="176"/>
    </row>
    <row r="312" spans="32:78" ht="18" customHeight="1" x14ac:dyDescent="0.2">
      <c r="AF312" s="143"/>
      <c r="AG312" s="143"/>
      <c r="AH312" s="143"/>
      <c r="AI312" s="143"/>
      <c r="AJ312" s="143"/>
      <c r="AK312" s="143"/>
      <c r="AL312" s="143"/>
      <c r="AM312" s="143"/>
      <c r="AN312" s="216" t="s">
        <v>405</v>
      </c>
      <c r="AO312" s="213" t="s">
        <v>28</v>
      </c>
      <c r="AP312" s="214">
        <v>1</v>
      </c>
      <c r="AQ312" s="214">
        <v>1386015.084</v>
      </c>
      <c r="AR312" s="215">
        <f>+ROUND(AP312*AQ312,2)</f>
        <v>1386015.08</v>
      </c>
      <c r="AS312" s="201"/>
      <c r="AT312" s="194"/>
      <c r="AU312" s="135"/>
      <c r="AV312" s="143"/>
      <c r="BK312" s="136"/>
      <c r="BL312" s="149"/>
      <c r="BM312" s="136"/>
      <c r="BN312" s="136"/>
      <c r="BO312" s="136"/>
      <c r="BP312" s="176"/>
      <c r="BQ312" s="365"/>
      <c r="BR312" s="176"/>
      <c r="BS312" s="176"/>
      <c r="BT312" s="176"/>
      <c r="BU312" s="176"/>
      <c r="BV312" s="176"/>
      <c r="BW312" s="176"/>
      <c r="BX312" s="176"/>
      <c r="BY312" s="176"/>
      <c r="BZ312" s="176"/>
    </row>
    <row r="313" spans="32:78" ht="18" customHeight="1" x14ac:dyDescent="0.2">
      <c r="AF313" s="143"/>
      <c r="AG313" s="143"/>
      <c r="AH313" s="143"/>
      <c r="AI313" s="143"/>
      <c r="AJ313" s="143"/>
      <c r="AK313" s="143"/>
      <c r="AL313" s="143"/>
      <c r="AM313" s="143"/>
      <c r="AN313" s="216" t="s">
        <v>323</v>
      </c>
      <c r="AO313" s="213" t="s">
        <v>28</v>
      </c>
      <c r="AP313" s="214">
        <v>1</v>
      </c>
      <c r="AQ313" s="214">
        <v>41580.452400000002</v>
      </c>
      <c r="AR313" s="215">
        <f>+ROUND(AP313*AQ313,2)</f>
        <v>41580.449999999997</v>
      </c>
      <c r="AS313" s="201"/>
      <c r="AT313" s="194"/>
      <c r="AU313" s="135"/>
      <c r="AV313" s="143"/>
      <c r="BK313" s="136"/>
      <c r="BL313" s="149"/>
      <c r="BM313" s="136"/>
      <c r="BN313" s="136"/>
      <c r="BO313" s="136"/>
      <c r="BP313" s="176"/>
      <c r="BQ313" s="365"/>
      <c r="BR313" s="176"/>
      <c r="BS313" s="176"/>
      <c r="BT313" s="176"/>
      <c r="BU313" s="176"/>
      <c r="BV313" s="176"/>
      <c r="BW313" s="176"/>
      <c r="BX313" s="176"/>
      <c r="BY313" s="176"/>
      <c r="BZ313" s="176"/>
    </row>
    <row r="314" spans="32:78" ht="18" customHeight="1" x14ac:dyDescent="0.2">
      <c r="AF314" s="143"/>
      <c r="AG314" s="143"/>
      <c r="AH314" s="143"/>
      <c r="AI314" s="143"/>
      <c r="AJ314" s="143"/>
      <c r="AK314" s="143"/>
      <c r="AL314" s="143"/>
      <c r="AM314" s="143"/>
      <c r="AN314" s="224" t="s">
        <v>50</v>
      </c>
      <c r="AO314" s="225" t="s">
        <v>28</v>
      </c>
      <c r="AP314" s="226">
        <v>0.03</v>
      </c>
      <c r="AQ314" s="219">
        <v>1427595.53</v>
      </c>
      <c r="AR314" s="215">
        <f>+ROUND(AP314*AQ314,2)</f>
        <v>42827.87</v>
      </c>
      <c r="AS314" s="201"/>
      <c r="AT314" s="194"/>
      <c r="AU314" s="135"/>
      <c r="AV314" s="143"/>
      <c r="BK314" s="136"/>
      <c r="BL314" s="149"/>
      <c r="BM314" s="136"/>
      <c r="BN314" s="136"/>
      <c r="BO314" s="136"/>
      <c r="BP314" s="176"/>
      <c r="BQ314" s="365"/>
      <c r="BR314" s="176"/>
      <c r="BS314" s="176"/>
      <c r="BT314" s="176"/>
      <c r="BU314" s="176"/>
      <c r="BV314" s="176"/>
      <c r="BW314" s="176"/>
      <c r="BX314" s="176"/>
      <c r="BY314" s="176"/>
      <c r="BZ314" s="176"/>
    </row>
    <row r="315" spans="32:78" ht="18" customHeight="1" x14ac:dyDescent="0.2">
      <c r="AF315" s="143"/>
      <c r="AG315" s="143"/>
      <c r="AH315" s="143"/>
      <c r="AI315" s="143"/>
      <c r="AJ315" s="143"/>
      <c r="AK315" s="143"/>
      <c r="AL315" s="143"/>
      <c r="AM315" s="143"/>
      <c r="AN315" s="232" t="s">
        <v>51</v>
      </c>
      <c r="AO315" s="233"/>
      <c r="AP315" s="234"/>
      <c r="AQ315" s="234"/>
      <c r="AR315" s="235">
        <f>SUM(AR312:AR314)</f>
        <v>1470423.4000000001</v>
      </c>
      <c r="AS315" s="235"/>
      <c r="AU315" s="135"/>
      <c r="AV315" s="143"/>
      <c r="BK315" s="136"/>
      <c r="BL315" s="149"/>
      <c r="BM315" s="136"/>
      <c r="BN315" s="136"/>
      <c r="BO315" s="136"/>
      <c r="BP315" s="176"/>
      <c r="BQ315" s="369"/>
      <c r="BR315" s="176"/>
      <c r="BS315" s="176"/>
      <c r="BT315" s="176"/>
      <c r="BU315" s="176"/>
      <c r="BV315" s="176"/>
      <c r="BW315" s="176"/>
      <c r="BX315" s="176"/>
      <c r="BY315" s="176"/>
      <c r="BZ315" s="176"/>
    </row>
    <row r="316" spans="32:78" ht="18" customHeight="1" x14ac:dyDescent="0.2">
      <c r="AF316" s="143"/>
      <c r="AG316" s="143"/>
      <c r="AH316" s="143"/>
      <c r="AI316" s="143"/>
      <c r="AJ316" s="143"/>
      <c r="AK316" s="143"/>
      <c r="AL316" s="143"/>
      <c r="AM316" s="143"/>
      <c r="AN316" s="197" t="s">
        <v>53</v>
      </c>
      <c r="AO316" s="198"/>
      <c r="AP316" s="199"/>
      <c r="AQ316" s="199"/>
      <c r="AR316" s="200"/>
      <c r="AS316" s="153"/>
      <c r="AT316" s="153"/>
      <c r="AU316" s="135"/>
      <c r="AV316" s="143"/>
      <c r="BK316" s="136"/>
      <c r="BL316" s="149"/>
      <c r="BM316" s="136"/>
      <c r="BN316" s="136"/>
      <c r="BO316" s="136"/>
      <c r="BP316" s="176"/>
      <c r="BQ316" s="369"/>
      <c r="BR316" s="176"/>
      <c r="BS316" s="176"/>
      <c r="BT316" s="176"/>
      <c r="BU316" s="176"/>
      <c r="BV316" s="176"/>
      <c r="BW316" s="176"/>
      <c r="BX316" s="176"/>
      <c r="BY316" s="176"/>
      <c r="BZ316" s="176"/>
    </row>
    <row r="317" spans="32:78" ht="18" customHeight="1" x14ac:dyDescent="0.2">
      <c r="AF317" s="143"/>
      <c r="AG317" s="143"/>
      <c r="AH317" s="143"/>
      <c r="AI317" s="143"/>
      <c r="AJ317" s="143"/>
      <c r="AK317" s="143"/>
      <c r="AL317" s="143"/>
      <c r="AM317" s="143"/>
      <c r="AN317" s="224" t="s">
        <v>54</v>
      </c>
      <c r="AO317" s="225" t="s">
        <v>55</v>
      </c>
      <c r="AP317" s="226">
        <v>8</v>
      </c>
      <c r="AQ317" s="226">
        <v>1600.8</v>
      </c>
      <c r="AR317" s="215">
        <f>+ROUND(AP317*AQ317,2)</f>
        <v>12806.4</v>
      </c>
      <c r="AS317" s="194"/>
      <c r="AT317" s="194"/>
      <c r="AU317" s="135"/>
      <c r="AV317" s="143"/>
      <c r="BK317" s="136"/>
      <c r="BL317" s="149"/>
      <c r="BM317" s="136"/>
      <c r="BN317" s="136"/>
      <c r="BO317" s="136"/>
      <c r="BP317" s="176"/>
      <c r="BQ317" s="369"/>
      <c r="BR317" s="176"/>
      <c r="BS317" s="176"/>
      <c r="BT317" s="176"/>
      <c r="BU317" s="176"/>
      <c r="BV317" s="176"/>
      <c r="BW317" s="176"/>
      <c r="BX317" s="176"/>
      <c r="BY317" s="176"/>
      <c r="BZ317" s="176"/>
    </row>
    <row r="318" spans="32:78" ht="18" customHeight="1" x14ac:dyDescent="0.2">
      <c r="AF318" s="143"/>
      <c r="AG318" s="143"/>
      <c r="AH318" s="143"/>
      <c r="AI318" s="143"/>
      <c r="AJ318" s="143"/>
      <c r="AK318" s="143"/>
      <c r="AL318" s="143"/>
      <c r="AM318" s="143"/>
      <c r="AN318" s="224" t="s">
        <v>56</v>
      </c>
      <c r="AO318" s="225" t="s">
        <v>55</v>
      </c>
      <c r="AP318" s="226">
        <v>8</v>
      </c>
      <c r="AQ318" s="226">
        <v>1354.6999999999998</v>
      </c>
      <c r="AR318" s="215">
        <f>+ROUND(AP318*AQ318,2)</f>
        <v>10837.6</v>
      </c>
      <c r="AS318" s="194"/>
      <c r="AT318" s="194"/>
      <c r="AU318" s="135"/>
      <c r="AV318" s="143"/>
      <c r="BK318" s="136"/>
      <c r="BL318" s="149"/>
      <c r="BM318" s="136"/>
      <c r="BN318" s="136"/>
      <c r="BO318" s="136"/>
      <c r="BP318" s="176"/>
      <c r="BQ318" s="369"/>
      <c r="BR318" s="176"/>
      <c r="BS318" s="176"/>
      <c r="BT318" s="176"/>
      <c r="BU318" s="176"/>
      <c r="BV318" s="176"/>
      <c r="BW318" s="176"/>
      <c r="BX318" s="176"/>
      <c r="BY318" s="176"/>
      <c r="BZ318" s="176"/>
    </row>
    <row r="319" spans="32:78" ht="18" customHeight="1" x14ac:dyDescent="0.2">
      <c r="AF319" s="143"/>
      <c r="AG319" s="143"/>
      <c r="AH319" s="143"/>
      <c r="AI319" s="143"/>
      <c r="AJ319" s="143"/>
      <c r="AK319" s="143"/>
      <c r="AL319" s="143"/>
      <c r="AM319" s="143"/>
      <c r="AN319" s="248"/>
      <c r="AO319" s="249"/>
      <c r="AP319" s="219"/>
      <c r="AQ319" s="219"/>
      <c r="AR319" s="215"/>
      <c r="AS319" s="194"/>
      <c r="AT319" s="194"/>
      <c r="AU319" s="135"/>
      <c r="AV319" s="143"/>
      <c r="BK319" s="136"/>
      <c r="BL319" s="149"/>
      <c r="BM319" s="136"/>
      <c r="BN319" s="136"/>
      <c r="BO319" s="136"/>
      <c r="BP319" s="176"/>
      <c r="BQ319" s="369"/>
      <c r="BR319" s="176"/>
      <c r="BS319" s="176"/>
      <c r="BT319" s="176"/>
      <c r="BU319" s="176"/>
      <c r="BV319" s="176"/>
      <c r="BW319" s="176"/>
      <c r="BX319" s="176"/>
      <c r="BY319" s="176"/>
      <c r="BZ319" s="176"/>
    </row>
    <row r="320" spans="32:78" ht="18" customHeight="1" x14ac:dyDescent="0.2">
      <c r="AF320" s="143"/>
      <c r="AG320" s="143"/>
      <c r="AH320" s="143"/>
      <c r="AI320" s="143"/>
      <c r="AJ320" s="143"/>
      <c r="AK320" s="143"/>
      <c r="AL320" s="143"/>
      <c r="AM320" s="143"/>
      <c r="AN320" s="232" t="s">
        <v>57</v>
      </c>
      <c r="AO320" s="233"/>
      <c r="AP320" s="234"/>
      <c r="AQ320" s="234"/>
      <c r="AR320" s="235">
        <f>SUM(AR317:AR319)</f>
        <v>23644</v>
      </c>
      <c r="AS320" s="138">
        <f>+AR320/AR315</f>
        <v>1.6079722343918083E-2</v>
      </c>
      <c r="AU320" s="135"/>
      <c r="AV320" s="143"/>
      <c r="BK320" s="136"/>
      <c r="BL320" s="149"/>
      <c r="BM320" s="136"/>
      <c r="BN320" s="136"/>
      <c r="BO320" s="136"/>
      <c r="BP320" s="176"/>
      <c r="BQ320" s="369"/>
      <c r="BR320" s="176"/>
      <c r="BS320" s="176"/>
      <c r="BT320" s="176"/>
      <c r="BU320" s="176"/>
      <c r="BV320" s="176"/>
      <c r="BW320" s="176"/>
      <c r="BX320" s="176"/>
      <c r="BY320" s="176"/>
      <c r="BZ320" s="176"/>
    </row>
    <row r="321" spans="1:78" ht="18" customHeight="1" x14ac:dyDescent="0.2">
      <c r="AF321" s="143"/>
      <c r="AG321" s="143"/>
      <c r="AH321" s="143"/>
      <c r="AI321" s="143"/>
      <c r="AJ321" s="143"/>
      <c r="AK321" s="143"/>
      <c r="AL321" s="143"/>
      <c r="AM321" s="143"/>
      <c r="AN321" s="197" t="s">
        <v>58</v>
      </c>
      <c r="AO321" s="198"/>
      <c r="AP321" s="199"/>
      <c r="AQ321" s="199"/>
      <c r="AR321" s="200"/>
      <c r="AS321" s="153"/>
      <c r="AT321" s="153"/>
      <c r="AU321" s="135"/>
      <c r="AV321" s="143"/>
      <c r="BK321" s="136"/>
      <c r="BL321" s="149"/>
      <c r="BM321" s="136"/>
      <c r="BN321" s="136"/>
      <c r="BO321" s="136"/>
      <c r="BP321" s="176"/>
      <c r="BQ321" s="369"/>
      <c r="BR321" s="176"/>
      <c r="BS321" s="176"/>
      <c r="BT321" s="176"/>
      <c r="BU321" s="176"/>
      <c r="BV321" s="176"/>
      <c r="BW321" s="176"/>
      <c r="BX321" s="176"/>
      <c r="BY321" s="176"/>
      <c r="BZ321" s="176"/>
    </row>
    <row r="322" spans="1:78" ht="18" customHeight="1" x14ac:dyDescent="0.2">
      <c r="A322" s="136"/>
      <c r="AF322" s="143"/>
      <c r="AG322" s="143"/>
      <c r="AH322" s="143"/>
      <c r="AI322" s="143"/>
      <c r="AJ322" s="143"/>
      <c r="AK322" s="143"/>
      <c r="AL322" s="143"/>
      <c r="AM322" s="143"/>
      <c r="AN322" s="252" t="s">
        <v>59</v>
      </c>
      <c r="AO322" s="213" t="s">
        <v>60</v>
      </c>
      <c r="AP322" s="226">
        <v>480</v>
      </c>
      <c r="AQ322" s="226">
        <v>1.9600688000000004</v>
      </c>
      <c r="AR322" s="215">
        <f>+ROUND(AP322*AQ322,2)</f>
        <v>940.83</v>
      </c>
      <c r="AS322" s="194"/>
      <c r="AT322" s="194"/>
      <c r="AU322" s="135"/>
      <c r="AV322" s="143"/>
      <c r="BK322" s="136"/>
      <c r="BL322" s="149"/>
      <c r="BM322" s="136"/>
      <c r="BN322" s="136"/>
      <c r="BO322" s="136"/>
      <c r="BP322" s="176"/>
      <c r="BQ322" s="369"/>
      <c r="BR322" s="176"/>
      <c r="BS322" s="176"/>
      <c r="BT322" s="176"/>
      <c r="BU322" s="176"/>
      <c r="BV322" s="176"/>
      <c r="BW322" s="176"/>
      <c r="BX322" s="176"/>
      <c r="BY322" s="176"/>
      <c r="BZ322" s="176"/>
    </row>
    <row r="323" spans="1:78" ht="18" customHeight="1" x14ac:dyDescent="0.2">
      <c r="A323" s="136"/>
      <c r="AF323" s="143"/>
      <c r="AG323" s="143"/>
      <c r="AH323" s="143"/>
      <c r="AI323" s="143"/>
      <c r="AJ323" s="143"/>
      <c r="AK323" s="143"/>
      <c r="AL323" s="143"/>
      <c r="AM323" s="143"/>
      <c r="AN323" s="202" t="s">
        <v>62</v>
      </c>
      <c r="AO323" s="250"/>
      <c r="AP323" s="168"/>
      <c r="AQ323" s="168"/>
      <c r="AR323" s="251">
        <f>SUM(AR322:AR322)</f>
        <v>940.83</v>
      </c>
      <c r="AS323" s="194"/>
      <c r="AT323" s="194"/>
      <c r="AU323" s="135"/>
      <c r="AV323" s="143"/>
      <c r="BK323" s="136"/>
      <c r="BL323" s="149"/>
      <c r="BM323" s="136"/>
      <c r="BN323" s="136"/>
      <c r="BO323" s="136"/>
      <c r="BP323" s="176"/>
      <c r="BQ323" s="369"/>
      <c r="BR323" s="176"/>
      <c r="BS323" s="176"/>
      <c r="BT323" s="176"/>
      <c r="BU323" s="176"/>
      <c r="BV323" s="176"/>
      <c r="BW323" s="176"/>
      <c r="BX323" s="176"/>
      <c r="BY323" s="176"/>
      <c r="BZ323" s="176"/>
    </row>
    <row r="324" spans="1:78" ht="18" customHeight="1" x14ac:dyDescent="0.2">
      <c r="AF324" s="143"/>
      <c r="AG324" s="143"/>
      <c r="AH324" s="143"/>
      <c r="AI324" s="143"/>
      <c r="AJ324" s="143"/>
      <c r="AK324" s="143"/>
      <c r="AL324" s="143"/>
      <c r="AM324" s="143"/>
      <c r="AN324" s="253" t="s">
        <v>63</v>
      </c>
      <c r="AO324" s="233"/>
      <c r="AP324" s="254" t="s">
        <v>64</v>
      </c>
      <c r="AQ324" s="255"/>
      <c r="AR324" s="256">
        <f>+AR315+AR320+AR323</f>
        <v>1495008.2300000002</v>
      </c>
      <c r="AS324" s="194"/>
      <c r="AT324" s="194"/>
      <c r="AU324" s="135"/>
      <c r="AV324" s="143"/>
      <c r="BK324" s="136"/>
      <c r="BL324" s="149"/>
      <c r="BM324" s="136"/>
      <c r="BN324" s="136"/>
      <c r="BO324" s="136"/>
      <c r="BP324" s="176"/>
      <c r="BQ324" s="369"/>
      <c r="BR324" s="176"/>
      <c r="BS324" s="176"/>
      <c r="BT324" s="176"/>
      <c r="BU324" s="176"/>
      <c r="BV324" s="176"/>
      <c r="BW324" s="176"/>
      <c r="BX324" s="176"/>
      <c r="BY324" s="176"/>
      <c r="BZ324" s="176"/>
    </row>
    <row r="325" spans="1:78" ht="18" customHeight="1" x14ac:dyDescent="0.2">
      <c r="AF325" s="143"/>
      <c r="AG325" s="143"/>
      <c r="AH325" s="143"/>
      <c r="AI325" s="143"/>
      <c r="AJ325" s="143"/>
      <c r="AK325" s="143"/>
      <c r="AL325" s="143"/>
      <c r="AM325" s="143"/>
      <c r="AN325" s="152"/>
      <c r="AO325" s="153"/>
      <c r="AP325" s="145"/>
      <c r="AQ325" s="145"/>
      <c r="AR325" s="145"/>
      <c r="AS325" s="154"/>
      <c r="AT325" s="154"/>
      <c r="AU325" s="135"/>
      <c r="AV325" s="143"/>
      <c r="BK325" s="136"/>
      <c r="BL325" s="149"/>
      <c r="BM325" s="136"/>
      <c r="BN325" s="136"/>
      <c r="BO325" s="136"/>
      <c r="BP325" s="176"/>
      <c r="BQ325" s="369"/>
      <c r="BR325" s="176"/>
      <c r="BS325" s="176"/>
      <c r="BT325" s="176"/>
      <c r="BU325" s="176"/>
      <c r="BV325" s="176"/>
      <c r="BW325" s="176"/>
      <c r="BX325" s="176"/>
      <c r="BY325" s="176"/>
      <c r="BZ325" s="176"/>
    </row>
    <row r="326" spans="1:78" ht="18" customHeight="1" x14ac:dyDescent="0.2">
      <c r="AF326" s="143"/>
      <c r="AG326" s="174"/>
      <c r="AH326" s="174"/>
      <c r="AI326" s="174"/>
      <c r="AJ326" s="174"/>
      <c r="AK326" s="174"/>
      <c r="AL326" s="174"/>
      <c r="AM326" s="174"/>
      <c r="AN326" s="155" t="s">
        <v>399</v>
      </c>
      <c r="AO326" s="169"/>
      <c r="AP326" s="172"/>
      <c r="AQ326" s="172"/>
      <c r="AR326" s="173"/>
      <c r="AS326" s="154"/>
      <c r="AT326" s="154"/>
      <c r="AU326" s="135"/>
      <c r="AV326" s="143"/>
      <c r="BK326" s="136"/>
      <c r="BL326" s="149"/>
      <c r="BM326" s="136"/>
      <c r="BN326" s="136"/>
      <c r="BO326" s="136"/>
      <c r="BP326" s="176"/>
      <c r="BQ326" s="369"/>
      <c r="BR326" s="176"/>
      <c r="BS326" s="176"/>
      <c r="BT326" s="176"/>
      <c r="BU326" s="176"/>
      <c r="BV326" s="176"/>
      <c r="BW326" s="176"/>
      <c r="BX326" s="176"/>
      <c r="BY326" s="176"/>
      <c r="BZ326" s="176"/>
    </row>
    <row r="327" spans="1:78" ht="18" customHeight="1" x14ac:dyDescent="0.2">
      <c r="AF327" s="174"/>
      <c r="AG327" s="143"/>
      <c r="AH327" s="143"/>
      <c r="AI327" s="143"/>
      <c r="AJ327" s="143"/>
      <c r="AK327" s="143"/>
      <c r="AL327" s="143"/>
      <c r="AM327" s="143"/>
      <c r="AN327" s="177" t="s">
        <v>406</v>
      </c>
      <c r="AO327" s="150"/>
      <c r="AP327" s="178"/>
      <c r="AQ327" s="149"/>
      <c r="AR327" s="179" t="str">
        <f>$G$79</f>
        <v>Un</v>
      </c>
      <c r="AS327" s="180">
        <f>$H$79</f>
        <v>4</v>
      </c>
      <c r="AT327" s="180"/>
      <c r="AU327" s="135"/>
      <c r="AV327" s="143"/>
      <c r="BK327" s="136"/>
      <c r="BL327" s="149"/>
      <c r="BM327" s="136"/>
      <c r="BN327" s="136"/>
      <c r="BO327" s="136"/>
      <c r="BP327" s="176"/>
      <c r="BQ327" s="369"/>
      <c r="BR327" s="176"/>
      <c r="BS327" s="176"/>
      <c r="BT327" s="176"/>
      <c r="BU327" s="176"/>
      <c r="BV327" s="176"/>
      <c r="BW327" s="176"/>
      <c r="BX327" s="176"/>
      <c r="BY327" s="176"/>
      <c r="BZ327" s="176"/>
    </row>
    <row r="328" spans="1:78" ht="18" customHeight="1" thickBot="1" x14ac:dyDescent="0.25">
      <c r="AF328" s="143"/>
      <c r="AG328" s="143"/>
      <c r="AH328" s="143"/>
      <c r="AI328" s="143"/>
      <c r="AJ328" s="143"/>
      <c r="AK328" s="143"/>
      <c r="AL328" s="143"/>
      <c r="AM328" s="143"/>
      <c r="AN328" s="183"/>
      <c r="AO328" s="184"/>
      <c r="AP328" s="185"/>
      <c r="AQ328" s="185"/>
      <c r="AR328" s="186"/>
      <c r="AU328" s="135"/>
      <c r="AV328" s="143"/>
      <c r="BK328" s="136"/>
      <c r="BL328" s="149"/>
      <c r="BM328" s="136"/>
      <c r="BN328" s="136"/>
      <c r="BO328" s="136"/>
      <c r="BP328" s="176"/>
      <c r="BQ328" s="369"/>
      <c r="BR328" s="176"/>
      <c r="BS328" s="176"/>
      <c r="BT328" s="176"/>
      <c r="BU328" s="176"/>
      <c r="BV328" s="176"/>
      <c r="BW328" s="176"/>
      <c r="BX328" s="176"/>
      <c r="BY328" s="176"/>
      <c r="BZ328" s="176"/>
    </row>
    <row r="329" spans="1:78" ht="18" customHeight="1" thickTop="1" x14ac:dyDescent="0.2">
      <c r="AF329" s="143"/>
      <c r="AG329" s="143"/>
      <c r="AH329" s="143"/>
      <c r="AI329" s="143"/>
      <c r="AJ329" s="143"/>
      <c r="AK329" s="143"/>
      <c r="AL329" s="143"/>
      <c r="AM329" s="143"/>
      <c r="AN329" s="191" t="s">
        <v>31</v>
      </c>
      <c r="AO329" s="192" t="s">
        <v>32</v>
      </c>
      <c r="AP329" s="192" t="s">
        <v>33</v>
      </c>
      <c r="AQ329" s="192" t="s">
        <v>1</v>
      </c>
      <c r="AR329" s="192" t="s">
        <v>34</v>
      </c>
      <c r="AS329" s="193" t="s">
        <v>76</v>
      </c>
      <c r="AT329" s="153"/>
      <c r="AU329" s="135"/>
      <c r="AV329" s="143"/>
      <c r="BK329" s="136"/>
      <c r="BL329" s="149"/>
      <c r="BM329" s="136"/>
      <c r="BN329" s="136"/>
      <c r="BO329" s="136"/>
      <c r="BP329" s="176"/>
      <c r="BQ329" s="369"/>
      <c r="BR329" s="176"/>
      <c r="BS329" s="176"/>
      <c r="BT329" s="176"/>
      <c r="BU329" s="176"/>
      <c r="BV329" s="176"/>
      <c r="BW329" s="176"/>
      <c r="BX329" s="176"/>
      <c r="BY329" s="176"/>
      <c r="BZ329" s="176"/>
    </row>
    <row r="330" spans="1:78" ht="18" customHeight="1" x14ac:dyDescent="0.2">
      <c r="AF330" s="143"/>
      <c r="AG330" s="143"/>
      <c r="AH330" s="143"/>
      <c r="AI330" s="143"/>
      <c r="AJ330" s="143"/>
      <c r="AK330" s="143"/>
      <c r="AL330" s="143"/>
      <c r="AM330" s="143"/>
      <c r="AN330" s="197" t="s">
        <v>37</v>
      </c>
      <c r="AO330" s="198"/>
      <c r="AP330" s="199"/>
      <c r="AQ330" s="199"/>
      <c r="AR330" s="200"/>
      <c r="AS330" s="201"/>
      <c r="AT330" s="194"/>
      <c r="AU330" s="135"/>
      <c r="AV330" s="143"/>
      <c r="BK330" s="136"/>
      <c r="BL330" s="149"/>
      <c r="BM330" s="136"/>
      <c r="BN330" s="136"/>
      <c r="BO330" s="136"/>
      <c r="BP330" s="176"/>
      <c r="BQ330" s="369"/>
      <c r="BR330" s="176"/>
      <c r="BS330" s="176"/>
      <c r="BT330" s="176"/>
      <c r="BU330" s="176"/>
      <c r="BV330" s="176"/>
      <c r="BW330" s="176"/>
      <c r="BX330" s="176"/>
      <c r="BY330" s="176"/>
      <c r="BZ330" s="176"/>
    </row>
    <row r="331" spans="1:78" ht="18" customHeight="1" x14ac:dyDescent="0.2">
      <c r="AF331" s="143"/>
      <c r="AG331" s="143"/>
      <c r="AH331" s="143"/>
      <c r="AI331" s="143"/>
      <c r="AJ331" s="143"/>
      <c r="AK331" s="143"/>
      <c r="AL331" s="143"/>
      <c r="AM331" s="143"/>
      <c r="AN331" s="216" t="s">
        <v>406</v>
      </c>
      <c r="AO331" s="213" t="s">
        <v>28</v>
      </c>
      <c r="AP331" s="214">
        <v>1</v>
      </c>
      <c r="AQ331" s="214">
        <v>308706.984</v>
      </c>
      <c r="AR331" s="215">
        <f>+ROUND(AP331*AQ331,2)</f>
        <v>308706.98</v>
      </c>
      <c r="AS331" s="201"/>
      <c r="AT331" s="194"/>
      <c r="AU331" s="135"/>
      <c r="AV331" s="143"/>
      <c r="BK331" s="136"/>
      <c r="BL331" s="149"/>
      <c r="BM331" s="136"/>
      <c r="BN331" s="136"/>
      <c r="BO331" s="136"/>
      <c r="BP331" s="176"/>
      <c r="BQ331" s="369"/>
      <c r="BR331" s="176"/>
      <c r="BS331" s="176"/>
      <c r="BT331" s="176"/>
      <c r="BU331" s="176"/>
      <c r="BV331" s="176"/>
      <c r="BW331" s="176"/>
      <c r="BX331" s="176"/>
      <c r="BY331" s="176"/>
      <c r="BZ331" s="176"/>
    </row>
    <row r="332" spans="1:78" ht="18" customHeight="1" x14ac:dyDescent="0.2">
      <c r="AF332" s="143"/>
      <c r="AG332" s="143"/>
      <c r="AH332" s="143"/>
      <c r="AI332" s="143"/>
      <c r="AJ332" s="143"/>
      <c r="AK332" s="143"/>
      <c r="AL332" s="143"/>
      <c r="AM332" s="143"/>
      <c r="AN332" s="216" t="s">
        <v>323</v>
      </c>
      <c r="AO332" s="213" t="s">
        <v>28</v>
      </c>
      <c r="AP332" s="214">
        <v>1</v>
      </c>
      <c r="AQ332" s="214">
        <v>9261.2093999999997</v>
      </c>
      <c r="AR332" s="215">
        <f>+ROUND(AP332*AQ332,2)</f>
        <v>9261.2099999999991</v>
      </c>
      <c r="AS332" s="201"/>
      <c r="AT332" s="194"/>
      <c r="AU332" s="135"/>
      <c r="AV332" s="143"/>
      <c r="BK332" s="136"/>
      <c r="BL332" s="149"/>
      <c r="BM332" s="136"/>
      <c r="BN332" s="136"/>
      <c r="BO332" s="136"/>
      <c r="BP332" s="176"/>
      <c r="BQ332" s="369"/>
      <c r="BR332" s="176"/>
      <c r="BS332" s="176"/>
      <c r="BT332" s="176"/>
      <c r="BU332" s="176"/>
      <c r="BV332" s="176"/>
      <c r="BW332" s="176"/>
      <c r="BX332" s="176"/>
      <c r="BY332" s="176"/>
      <c r="BZ332" s="176"/>
    </row>
    <row r="333" spans="1:78" ht="18" customHeight="1" x14ac:dyDescent="0.2">
      <c r="AF333" s="143"/>
      <c r="AG333" s="143"/>
      <c r="AH333" s="143"/>
      <c r="AI333" s="143"/>
      <c r="AJ333" s="143"/>
      <c r="AK333" s="143"/>
      <c r="AL333" s="143"/>
      <c r="AM333" s="143"/>
      <c r="AN333" s="224" t="s">
        <v>50</v>
      </c>
      <c r="AO333" s="225" t="s">
        <v>28</v>
      </c>
      <c r="AP333" s="226">
        <v>0.03</v>
      </c>
      <c r="AQ333" s="219">
        <v>317968.19</v>
      </c>
      <c r="AR333" s="215">
        <f>+ROUND(AP333*AQ333,2)</f>
        <v>9539.0499999999993</v>
      </c>
      <c r="AS333" s="201"/>
      <c r="AT333" s="194"/>
      <c r="AU333" s="135"/>
      <c r="AV333" s="143"/>
      <c r="BK333" s="136"/>
      <c r="BL333" s="149"/>
      <c r="BM333" s="136"/>
      <c r="BN333" s="136"/>
      <c r="BO333" s="136"/>
      <c r="BP333" s="176"/>
      <c r="BQ333" s="365"/>
      <c r="BR333" s="176"/>
      <c r="BS333" s="176"/>
      <c r="BT333" s="176"/>
      <c r="BU333" s="176"/>
      <c r="BV333" s="176"/>
      <c r="BW333" s="176"/>
      <c r="BX333" s="176"/>
      <c r="BY333" s="176"/>
      <c r="BZ333" s="176"/>
    </row>
    <row r="334" spans="1:78" ht="18" customHeight="1" x14ac:dyDescent="0.2">
      <c r="AF334" s="143"/>
      <c r="AG334" s="143"/>
      <c r="AH334" s="143"/>
      <c r="AI334" s="143"/>
      <c r="AJ334" s="143"/>
      <c r="AK334" s="143"/>
      <c r="AL334" s="143"/>
      <c r="AM334" s="143"/>
      <c r="AN334" s="232" t="s">
        <v>51</v>
      </c>
      <c r="AO334" s="233"/>
      <c r="AP334" s="234"/>
      <c r="AQ334" s="234"/>
      <c r="AR334" s="235">
        <f>SUM(AR331:AR333)</f>
        <v>327507.24</v>
      </c>
      <c r="AS334" s="235"/>
      <c r="AU334" s="135"/>
      <c r="AV334" s="143"/>
      <c r="BK334" s="136"/>
      <c r="BL334" s="149"/>
      <c r="BM334" s="136"/>
      <c r="BN334" s="136"/>
      <c r="BO334" s="136"/>
      <c r="BP334" s="176"/>
      <c r="BQ334" s="365"/>
      <c r="BR334" s="176"/>
      <c r="BS334" s="176"/>
      <c r="BT334" s="176"/>
      <c r="BU334" s="176"/>
      <c r="BV334" s="176"/>
      <c r="BW334" s="176"/>
      <c r="BX334" s="176"/>
      <c r="BY334" s="176"/>
      <c r="BZ334" s="176"/>
    </row>
    <row r="335" spans="1:78" ht="18" customHeight="1" x14ac:dyDescent="0.2">
      <c r="AF335" s="143"/>
      <c r="AG335" s="143"/>
      <c r="AH335" s="143"/>
      <c r="AI335" s="143"/>
      <c r="AJ335" s="143"/>
      <c r="AK335" s="143"/>
      <c r="AL335" s="143"/>
      <c r="AM335" s="143"/>
      <c r="AN335" s="197" t="s">
        <v>53</v>
      </c>
      <c r="AO335" s="198"/>
      <c r="AP335" s="199"/>
      <c r="AQ335" s="199"/>
      <c r="AR335" s="200"/>
      <c r="AS335" s="153"/>
      <c r="AT335" s="153"/>
      <c r="AU335" s="135"/>
      <c r="AV335" s="143"/>
      <c r="BK335" s="136"/>
      <c r="BL335" s="149"/>
      <c r="BM335" s="136"/>
      <c r="BN335" s="136"/>
      <c r="BO335" s="136"/>
      <c r="BP335" s="176"/>
      <c r="BQ335" s="365"/>
      <c r="BR335" s="176"/>
      <c r="BS335" s="176"/>
      <c r="BT335" s="176"/>
      <c r="BU335" s="176"/>
      <c r="BV335" s="176"/>
      <c r="BW335" s="176"/>
      <c r="BX335" s="176"/>
      <c r="BY335" s="176"/>
      <c r="BZ335" s="176"/>
    </row>
    <row r="336" spans="1:78" ht="18" customHeight="1" x14ac:dyDescent="0.2">
      <c r="AF336" s="143"/>
      <c r="AG336" s="143"/>
      <c r="AH336" s="143"/>
      <c r="AI336" s="143"/>
      <c r="AJ336" s="143"/>
      <c r="AK336" s="143"/>
      <c r="AL336" s="143"/>
      <c r="AM336" s="143"/>
      <c r="AN336" s="224" t="s">
        <v>54</v>
      </c>
      <c r="AO336" s="225" t="s">
        <v>55</v>
      </c>
      <c r="AP336" s="226">
        <v>4</v>
      </c>
      <c r="AQ336" s="226">
        <v>1600.8</v>
      </c>
      <c r="AR336" s="215">
        <f>+ROUND(AP336*AQ336,2)</f>
        <v>6403.2</v>
      </c>
      <c r="AS336" s="194"/>
      <c r="AT336" s="194"/>
      <c r="AU336" s="135"/>
      <c r="AV336" s="143"/>
      <c r="BK336" s="136"/>
      <c r="BL336" s="149"/>
      <c r="BM336" s="136"/>
      <c r="BN336" s="136"/>
      <c r="BO336" s="136"/>
      <c r="BP336" s="176"/>
      <c r="BQ336" s="365"/>
      <c r="BR336" s="176"/>
      <c r="BS336" s="176"/>
      <c r="BT336" s="176"/>
      <c r="BU336" s="176"/>
      <c r="BV336" s="176"/>
      <c r="BW336" s="176"/>
      <c r="BX336" s="176"/>
      <c r="BY336" s="176"/>
      <c r="BZ336" s="176"/>
    </row>
    <row r="337" spans="2:78" ht="18" customHeight="1" x14ac:dyDescent="0.2">
      <c r="AF337" s="143"/>
      <c r="AG337" s="143"/>
      <c r="AH337" s="143"/>
      <c r="AI337" s="143"/>
      <c r="AJ337" s="143"/>
      <c r="AK337" s="143"/>
      <c r="AL337" s="143"/>
      <c r="AM337" s="143"/>
      <c r="AN337" s="224" t="s">
        <v>56</v>
      </c>
      <c r="AO337" s="225" t="s">
        <v>55</v>
      </c>
      <c r="AP337" s="226">
        <v>2</v>
      </c>
      <c r="AQ337" s="226">
        <v>1354.6999999999998</v>
      </c>
      <c r="AR337" s="215">
        <f>+ROUND(AP337*AQ337,2)</f>
        <v>2709.4</v>
      </c>
      <c r="AS337" s="194"/>
      <c r="AT337" s="194"/>
      <c r="AU337" s="135"/>
      <c r="AV337" s="143"/>
      <c r="BK337" s="136"/>
      <c r="BL337" s="149"/>
      <c r="BM337" s="136"/>
      <c r="BN337" s="136"/>
      <c r="BO337" s="136"/>
      <c r="BP337" s="176"/>
      <c r="BQ337" s="365"/>
      <c r="BR337" s="176"/>
      <c r="BS337" s="176"/>
      <c r="BT337" s="176"/>
      <c r="BU337" s="176"/>
      <c r="BV337" s="176"/>
      <c r="BW337" s="176"/>
      <c r="BX337" s="176"/>
      <c r="BY337" s="176"/>
      <c r="BZ337" s="176"/>
    </row>
    <row r="338" spans="2:78" ht="18" customHeight="1" x14ac:dyDescent="0.2">
      <c r="AF338" s="143"/>
      <c r="AG338" s="143"/>
      <c r="AH338" s="143"/>
      <c r="AI338" s="143"/>
      <c r="AJ338" s="143"/>
      <c r="AK338" s="143"/>
      <c r="AL338" s="143"/>
      <c r="AM338" s="143"/>
      <c r="AN338" s="248"/>
      <c r="AO338" s="249"/>
      <c r="AP338" s="219"/>
      <c r="AQ338" s="219"/>
      <c r="AR338" s="215"/>
      <c r="AS338" s="194"/>
      <c r="AT338" s="194"/>
      <c r="AU338" s="135"/>
      <c r="AV338" s="143"/>
      <c r="BK338" s="136"/>
      <c r="BL338" s="136"/>
      <c r="BM338" s="136"/>
      <c r="BN338" s="136"/>
      <c r="BO338" s="136"/>
      <c r="BP338" s="176"/>
      <c r="BQ338" s="365"/>
      <c r="BR338" s="176"/>
      <c r="BS338" s="176"/>
      <c r="BT338" s="176"/>
      <c r="BU338" s="176"/>
      <c r="BV338" s="176"/>
      <c r="BW338" s="176"/>
      <c r="BX338" s="176"/>
      <c r="BY338" s="176"/>
      <c r="BZ338" s="176"/>
    </row>
    <row r="339" spans="2:78" ht="18" customHeight="1" x14ac:dyDescent="0.2">
      <c r="AF339" s="143"/>
      <c r="AG339" s="143"/>
      <c r="AH339" s="143"/>
      <c r="AI339" s="143"/>
      <c r="AJ339" s="143"/>
      <c r="AK339" s="143"/>
      <c r="AL339" s="143"/>
      <c r="AM339" s="143"/>
      <c r="AN339" s="232" t="s">
        <v>57</v>
      </c>
      <c r="AO339" s="233"/>
      <c r="AP339" s="234"/>
      <c r="AQ339" s="234"/>
      <c r="AR339" s="235">
        <f>SUM(AR336:AR338)</f>
        <v>9112.6</v>
      </c>
      <c r="AS339" s="138">
        <f>+AR339/AR334</f>
        <v>2.7824117720267803E-2</v>
      </c>
      <c r="AU339" s="135"/>
      <c r="AV339" s="143"/>
      <c r="BK339" s="136"/>
      <c r="BL339" s="136"/>
      <c r="BM339" s="136"/>
      <c r="BN339" s="136"/>
      <c r="BO339" s="136"/>
      <c r="BP339" s="176"/>
      <c r="BQ339" s="365"/>
      <c r="BR339" s="176"/>
      <c r="BS339" s="176"/>
      <c r="BT339" s="176"/>
      <c r="BU339" s="176"/>
      <c r="BV339" s="176"/>
      <c r="BW339" s="176"/>
      <c r="BX339" s="176"/>
      <c r="BY339" s="176"/>
      <c r="BZ339" s="176"/>
    </row>
    <row r="340" spans="2:78" ht="18" customHeight="1" x14ac:dyDescent="0.2">
      <c r="AF340" s="143"/>
      <c r="AG340" s="143"/>
      <c r="AH340" s="143"/>
      <c r="AI340" s="143"/>
      <c r="AJ340" s="143"/>
      <c r="AK340" s="143"/>
      <c r="AL340" s="143"/>
      <c r="AM340" s="143"/>
      <c r="AN340" s="197" t="s">
        <v>58</v>
      </c>
      <c r="AO340" s="198"/>
      <c r="AP340" s="199"/>
      <c r="AQ340" s="199"/>
      <c r="AR340" s="200"/>
      <c r="AS340" s="153"/>
      <c r="AT340" s="153"/>
      <c r="AU340" s="135"/>
      <c r="AV340" s="143"/>
      <c r="BK340" s="136"/>
      <c r="BL340" s="136"/>
      <c r="BM340" s="136"/>
      <c r="BN340" s="136"/>
      <c r="BO340" s="136"/>
      <c r="BP340" s="176"/>
      <c r="BQ340" s="365"/>
      <c r="BR340" s="176"/>
      <c r="BS340" s="176"/>
      <c r="BT340" s="176"/>
      <c r="BU340" s="176"/>
      <c r="BV340" s="176"/>
      <c r="BW340" s="176"/>
      <c r="BX340" s="176"/>
      <c r="BY340" s="176"/>
      <c r="BZ340" s="176"/>
    </row>
    <row r="341" spans="2:78" ht="18" customHeight="1" x14ac:dyDescent="0.2">
      <c r="AF341" s="143"/>
      <c r="AG341" s="143"/>
      <c r="AH341" s="143"/>
      <c r="AI341" s="143"/>
      <c r="AJ341" s="143"/>
      <c r="AK341" s="143"/>
      <c r="AL341" s="143"/>
      <c r="AM341" s="143"/>
      <c r="AN341" s="252" t="s">
        <v>59</v>
      </c>
      <c r="AO341" s="213" t="s">
        <v>60</v>
      </c>
      <c r="AP341" s="226">
        <v>120</v>
      </c>
      <c r="AQ341" s="226">
        <v>1.9600688000000004</v>
      </c>
      <c r="AR341" s="215">
        <f>+ROUND(AP341*AQ341,2)</f>
        <v>235.21</v>
      </c>
      <c r="AS341" s="194"/>
      <c r="AT341" s="194"/>
      <c r="AU341" s="135"/>
      <c r="AV341" s="143"/>
      <c r="BK341" s="136"/>
      <c r="BL341" s="136"/>
      <c r="BM341" s="136"/>
      <c r="BN341" s="136"/>
      <c r="BO341" s="136"/>
      <c r="BP341" s="176"/>
      <c r="BQ341" s="365"/>
      <c r="BR341" s="176"/>
      <c r="BS341" s="176"/>
      <c r="BT341" s="176"/>
      <c r="BU341" s="176"/>
      <c r="BV341" s="176"/>
      <c r="BW341" s="176"/>
      <c r="BX341" s="176"/>
      <c r="BY341" s="176"/>
      <c r="BZ341" s="176"/>
    </row>
    <row r="342" spans="2:78" ht="18" customHeight="1" x14ac:dyDescent="0.2">
      <c r="AF342" s="143"/>
      <c r="AG342" s="143"/>
      <c r="AH342" s="143"/>
      <c r="AI342" s="143"/>
      <c r="AJ342" s="143"/>
      <c r="AK342" s="143"/>
      <c r="AL342" s="143"/>
      <c r="AM342" s="143"/>
      <c r="AN342" s="202" t="s">
        <v>62</v>
      </c>
      <c r="AO342" s="250"/>
      <c r="AP342" s="168"/>
      <c r="AQ342" s="168"/>
      <c r="AR342" s="251">
        <f>SUM(AR341:AR341)</f>
        <v>235.21</v>
      </c>
      <c r="AS342" s="194"/>
      <c r="AT342" s="194"/>
      <c r="AU342" s="135"/>
      <c r="AV342" s="143"/>
      <c r="BK342" s="136"/>
      <c r="BL342" s="136"/>
      <c r="BM342" s="136"/>
      <c r="BN342" s="136"/>
      <c r="BO342" s="136"/>
      <c r="BP342" s="176"/>
      <c r="BQ342" s="365"/>
      <c r="BR342" s="176"/>
      <c r="BS342" s="176"/>
      <c r="BT342" s="176"/>
      <c r="BU342" s="176"/>
      <c r="BV342" s="176"/>
      <c r="BW342" s="176"/>
      <c r="BX342" s="176"/>
      <c r="BY342" s="176"/>
      <c r="BZ342" s="176"/>
    </row>
    <row r="343" spans="2:78" ht="18" customHeight="1" x14ac:dyDescent="0.2">
      <c r="AF343" s="143"/>
      <c r="AG343" s="143"/>
      <c r="AH343" s="143"/>
      <c r="AI343" s="143"/>
      <c r="AJ343" s="143"/>
      <c r="AK343" s="143"/>
      <c r="AL343" s="143"/>
      <c r="AM343" s="143"/>
      <c r="AN343" s="253" t="s">
        <v>63</v>
      </c>
      <c r="AO343" s="233"/>
      <c r="AP343" s="254" t="s">
        <v>64</v>
      </c>
      <c r="AQ343" s="255"/>
      <c r="AR343" s="256">
        <f>+AR334+AR339+AR342</f>
        <v>336855.05</v>
      </c>
      <c r="AS343" s="194"/>
      <c r="AT343" s="194"/>
      <c r="AU343" s="135"/>
      <c r="AV343" s="143"/>
      <c r="BK343" s="136"/>
      <c r="BL343" s="136"/>
      <c r="BM343" s="136"/>
      <c r="BN343" s="136"/>
      <c r="BO343" s="136"/>
      <c r="BP343" s="176"/>
      <c r="BQ343" s="365"/>
      <c r="BR343" s="176"/>
      <c r="BS343" s="176"/>
      <c r="BT343" s="176"/>
      <c r="BU343" s="176"/>
      <c r="BV343" s="176"/>
      <c r="BW343" s="176"/>
      <c r="BX343" s="176"/>
      <c r="BY343" s="176"/>
      <c r="BZ343" s="176"/>
    </row>
    <row r="344" spans="2:78" ht="18" customHeight="1" x14ac:dyDescent="0.2">
      <c r="AF344" s="143"/>
      <c r="AG344" s="143"/>
      <c r="AH344" s="143"/>
      <c r="AI344" s="143"/>
      <c r="AJ344" s="143"/>
      <c r="AK344" s="143"/>
      <c r="AL344" s="143"/>
      <c r="AM344" s="143"/>
      <c r="AN344" s="152"/>
      <c r="AO344" s="153"/>
      <c r="AP344" s="145"/>
      <c r="AQ344" s="145"/>
      <c r="AR344" s="145"/>
      <c r="AS344" s="154"/>
      <c r="AT344" s="154"/>
      <c r="AU344" s="135"/>
      <c r="AV344" s="143"/>
      <c r="BK344" s="136"/>
      <c r="BL344" s="136"/>
      <c r="BM344" s="136"/>
      <c r="BN344" s="136"/>
      <c r="BO344" s="136"/>
      <c r="BP344" s="176"/>
      <c r="BQ344" s="365"/>
      <c r="BR344" s="176"/>
      <c r="BS344" s="176"/>
      <c r="BT344" s="176"/>
      <c r="BU344" s="176"/>
      <c r="BV344" s="176"/>
      <c r="BW344" s="176"/>
      <c r="BX344" s="176"/>
      <c r="BY344" s="176"/>
      <c r="BZ344" s="176"/>
    </row>
    <row r="345" spans="2:78" ht="18" customHeight="1" x14ac:dyDescent="0.2">
      <c r="AF345" s="143"/>
      <c r="AG345" s="143"/>
      <c r="AH345" s="143"/>
      <c r="AI345" s="143"/>
      <c r="AJ345" s="143"/>
      <c r="AK345" s="143"/>
      <c r="AL345" s="143"/>
      <c r="AM345" s="143"/>
      <c r="AN345" s="155" t="s">
        <v>399</v>
      </c>
      <c r="AO345" s="169"/>
      <c r="AP345" s="172"/>
      <c r="AQ345" s="172"/>
      <c r="AR345" s="173"/>
      <c r="AS345" s="154"/>
      <c r="AT345" s="154"/>
      <c r="AU345" s="135"/>
      <c r="AV345" s="143"/>
      <c r="BK345" s="136"/>
      <c r="BL345" s="136"/>
      <c r="BM345" s="136"/>
      <c r="BN345" s="136"/>
      <c r="BO345" s="136"/>
      <c r="BP345" s="176"/>
      <c r="BQ345" s="365"/>
      <c r="BR345" s="176"/>
      <c r="BS345" s="176"/>
      <c r="BT345" s="176"/>
      <c r="BU345" s="176"/>
      <c r="BV345" s="176"/>
      <c r="BW345" s="176"/>
      <c r="BX345" s="176"/>
      <c r="BY345" s="176"/>
      <c r="BZ345" s="176"/>
    </row>
    <row r="346" spans="2:78" ht="18" customHeight="1" x14ac:dyDescent="0.2">
      <c r="AF346" s="143"/>
      <c r="AG346" s="143"/>
      <c r="AH346" s="143"/>
      <c r="AI346" s="143"/>
      <c r="AJ346" s="143"/>
      <c r="AK346" s="143"/>
      <c r="AL346" s="143"/>
      <c r="AM346" s="143"/>
      <c r="AN346" s="177" t="s">
        <v>407</v>
      </c>
      <c r="AO346" s="150"/>
      <c r="AP346" s="178"/>
      <c r="AQ346" s="149"/>
      <c r="AR346" s="179" t="str">
        <f>$G$80</f>
        <v>Un</v>
      </c>
      <c r="AS346" s="180">
        <f>$H$80</f>
        <v>2</v>
      </c>
      <c r="AT346" s="180"/>
      <c r="AU346" s="135"/>
      <c r="AV346" s="143"/>
      <c r="BK346" s="136"/>
      <c r="BL346" s="136"/>
      <c r="BM346" s="136"/>
      <c r="BN346" s="136"/>
      <c r="BO346" s="136"/>
      <c r="BP346" s="176"/>
      <c r="BQ346" s="365"/>
      <c r="BR346" s="176"/>
      <c r="BS346" s="176"/>
      <c r="BT346" s="176"/>
      <c r="BU346" s="176"/>
      <c r="BV346" s="176"/>
      <c r="BW346" s="176"/>
      <c r="BX346" s="176"/>
      <c r="BY346" s="176"/>
      <c r="BZ346" s="176"/>
    </row>
    <row r="347" spans="2:78" ht="18" customHeight="1" thickBot="1" x14ac:dyDescent="0.25">
      <c r="AF347" s="143"/>
      <c r="AG347" s="143"/>
      <c r="AH347" s="143"/>
      <c r="AI347" s="143"/>
      <c r="AJ347" s="143"/>
      <c r="AK347" s="143"/>
      <c r="AL347" s="143"/>
      <c r="AM347" s="143"/>
      <c r="AN347" s="183"/>
      <c r="AO347" s="184"/>
      <c r="AP347" s="185"/>
      <c r="AQ347" s="185"/>
      <c r="AR347" s="186"/>
      <c r="AU347" s="135"/>
      <c r="AV347" s="143"/>
      <c r="BK347" s="136"/>
      <c r="BL347" s="136"/>
      <c r="BM347" s="136"/>
      <c r="BN347" s="136"/>
      <c r="BO347" s="136"/>
      <c r="BP347" s="176"/>
      <c r="BQ347" s="365"/>
      <c r="BR347" s="176"/>
      <c r="BS347" s="176"/>
      <c r="BT347" s="176"/>
      <c r="BU347" s="176"/>
      <c r="BV347" s="176"/>
      <c r="BW347" s="176"/>
      <c r="BX347" s="176"/>
      <c r="BY347" s="176"/>
      <c r="BZ347" s="176"/>
    </row>
    <row r="348" spans="2:78" ht="18" customHeight="1" thickTop="1" x14ac:dyDescent="0.2">
      <c r="B348" s="234"/>
      <c r="AF348" s="143"/>
      <c r="AG348" s="143"/>
      <c r="AH348" s="143"/>
      <c r="AI348" s="143"/>
      <c r="AJ348" s="143"/>
      <c r="AK348" s="143"/>
      <c r="AL348" s="143"/>
      <c r="AM348" s="143"/>
      <c r="AN348" s="191" t="s">
        <v>31</v>
      </c>
      <c r="AO348" s="192" t="s">
        <v>32</v>
      </c>
      <c r="AP348" s="192" t="s">
        <v>33</v>
      </c>
      <c r="AQ348" s="192" t="s">
        <v>1</v>
      </c>
      <c r="AR348" s="192" t="s">
        <v>34</v>
      </c>
      <c r="AS348" s="193" t="s">
        <v>76</v>
      </c>
      <c r="AT348" s="153"/>
      <c r="AU348" s="135"/>
      <c r="AV348" s="143"/>
      <c r="BK348" s="136"/>
      <c r="BL348" s="149"/>
      <c r="BM348" s="136"/>
      <c r="BN348" s="136"/>
      <c r="BO348" s="136"/>
      <c r="BP348" s="176"/>
      <c r="BQ348" s="365"/>
      <c r="BR348" s="176"/>
      <c r="BS348" s="176"/>
      <c r="BT348" s="176"/>
      <c r="BU348" s="176"/>
      <c r="BV348" s="176"/>
      <c r="BW348" s="176"/>
      <c r="BX348" s="176"/>
      <c r="BY348" s="176"/>
      <c r="BZ348" s="176"/>
    </row>
    <row r="349" spans="2:78" ht="18" customHeight="1" x14ac:dyDescent="0.2">
      <c r="AF349" s="143"/>
      <c r="AG349" s="143"/>
      <c r="AH349" s="143"/>
      <c r="AI349" s="143"/>
      <c r="AJ349" s="143"/>
      <c r="AK349" s="143"/>
      <c r="AL349" s="143"/>
      <c r="AM349" s="143"/>
      <c r="AN349" s="197" t="s">
        <v>37</v>
      </c>
      <c r="AO349" s="198"/>
      <c r="AP349" s="199"/>
      <c r="AQ349" s="199"/>
      <c r="AR349" s="200"/>
      <c r="AS349" s="201"/>
      <c r="AT349" s="194"/>
      <c r="AU349" s="135"/>
      <c r="AV349" s="143"/>
      <c r="BK349" s="136"/>
      <c r="BL349" s="149"/>
      <c r="BM349" s="136"/>
      <c r="BN349" s="136"/>
      <c r="BO349" s="136"/>
      <c r="BP349" s="176"/>
      <c r="BQ349" s="365"/>
      <c r="BR349" s="176"/>
      <c r="BS349" s="176"/>
      <c r="BT349" s="176"/>
      <c r="BU349" s="176"/>
      <c r="BV349" s="176"/>
      <c r="BW349" s="176"/>
      <c r="BX349" s="176"/>
      <c r="BY349" s="176"/>
      <c r="BZ349" s="176"/>
    </row>
    <row r="350" spans="2:78" ht="18" customHeight="1" x14ac:dyDescent="0.2">
      <c r="AF350" s="143"/>
      <c r="AG350" s="143"/>
      <c r="AH350" s="143"/>
      <c r="AI350" s="143"/>
      <c r="AJ350" s="143"/>
      <c r="AK350" s="143"/>
      <c r="AL350" s="143"/>
      <c r="AM350" s="143"/>
      <c r="AN350" s="216" t="s">
        <v>407</v>
      </c>
      <c r="AO350" s="213" t="s">
        <v>28</v>
      </c>
      <c r="AP350" s="214">
        <v>1</v>
      </c>
      <c r="AQ350" s="214">
        <v>613947.16800000006</v>
      </c>
      <c r="AR350" s="215">
        <f>+ROUND(AP350*AQ350,2)</f>
        <v>613947.17000000004</v>
      </c>
      <c r="AS350" s="201"/>
      <c r="AT350" s="194"/>
      <c r="AU350" s="135"/>
      <c r="AV350" s="143"/>
      <c r="BK350" s="136"/>
      <c r="BL350" s="149"/>
      <c r="BM350" s="136"/>
      <c r="BN350" s="136"/>
      <c r="BO350" s="136"/>
      <c r="BP350" s="176"/>
      <c r="BQ350" s="365"/>
      <c r="BR350" s="176"/>
      <c r="BS350" s="176"/>
      <c r="BT350" s="176"/>
      <c r="BU350" s="176"/>
      <c r="BV350" s="176"/>
      <c r="BW350" s="176"/>
      <c r="BX350" s="176"/>
      <c r="BY350" s="176"/>
      <c r="BZ350" s="176"/>
    </row>
    <row r="351" spans="2:78" ht="18" customHeight="1" x14ac:dyDescent="0.2">
      <c r="AF351" s="143"/>
      <c r="AG351" s="143"/>
      <c r="AH351" s="143"/>
      <c r="AI351" s="143"/>
      <c r="AJ351" s="143"/>
      <c r="AK351" s="143"/>
      <c r="AL351" s="143"/>
      <c r="AM351" s="143"/>
      <c r="AN351" s="216" t="s">
        <v>323</v>
      </c>
      <c r="AO351" s="213" t="s">
        <v>28</v>
      </c>
      <c r="AP351" s="214">
        <v>1</v>
      </c>
      <c r="AQ351" s="214">
        <v>18418.415100000002</v>
      </c>
      <c r="AR351" s="215">
        <f>+ROUND(AP351*AQ351,2)</f>
        <v>18418.419999999998</v>
      </c>
      <c r="AS351" s="201"/>
      <c r="AT351" s="194"/>
      <c r="AU351" s="135"/>
      <c r="AV351" s="143"/>
      <c r="BK351" s="136"/>
      <c r="BL351" s="149"/>
      <c r="BM351" s="136"/>
      <c r="BN351" s="136"/>
      <c r="BO351" s="136"/>
      <c r="BP351" s="176"/>
      <c r="BQ351" s="365"/>
      <c r="BR351" s="176"/>
      <c r="BS351" s="176"/>
      <c r="BT351" s="176"/>
      <c r="BU351" s="176"/>
      <c r="BV351" s="176"/>
      <c r="BW351" s="176"/>
      <c r="BX351" s="176"/>
      <c r="BY351" s="176"/>
      <c r="BZ351" s="176"/>
    </row>
    <row r="352" spans="2:78" ht="18" customHeight="1" x14ac:dyDescent="0.2">
      <c r="B352" s="159"/>
      <c r="AF352" s="143"/>
      <c r="AG352" s="143"/>
      <c r="AH352" s="143"/>
      <c r="AI352" s="143"/>
      <c r="AJ352" s="143"/>
      <c r="AK352" s="143"/>
      <c r="AL352" s="143"/>
      <c r="AM352" s="143"/>
      <c r="AN352" s="224" t="s">
        <v>50</v>
      </c>
      <c r="AO352" s="225" t="s">
        <v>28</v>
      </c>
      <c r="AP352" s="226">
        <v>0.03</v>
      </c>
      <c r="AQ352" s="219">
        <v>632365.59000000008</v>
      </c>
      <c r="AR352" s="215">
        <f>+ROUND(AP352*AQ352,2)</f>
        <v>18970.97</v>
      </c>
      <c r="AS352" s="201"/>
      <c r="AT352" s="194"/>
      <c r="AU352" s="135"/>
      <c r="AV352" s="143"/>
      <c r="BK352" s="136"/>
      <c r="BM352" s="136"/>
      <c r="BN352" s="136"/>
      <c r="BO352" s="136"/>
      <c r="BP352" s="176"/>
      <c r="BQ352" s="365"/>
      <c r="BR352" s="176"/>
      <c r="BS352" s="176"/>
      <c r="BT352" s="176"/>
      <c r="BU352" s="176"/>
      <c r="BV352" s="176"/>
      <c r="BW352" s="176"/>
      <c r="BX352" s="176"/>
      <c r="BY352" s="176"/>
      <c r="BZ352" s="176"/>
    </row>
    <row r="353" spans="2:87" ht="18" customHeight="1" x14ac:dyDescent="0.2">
      <c r="AF353" s="143"/>
      <c r="AG353" s="143"/>
      <c r="AH353" s="143"/>
      <c r="AI353" s="143"/>
      <c r="AJ353" s="143"/>
      <c r="AK353" s="143"/>
      <c r="AL353" s="143"/>
      <c r="AM353" s="143"/>
      <c r="AN353" s="232" t="s">
        <v>51</v>
      </c>
      <c r="AO353" s="233"/>
      <c r="AP353" s="234"/>
      <c r="AQ353" s="234"/>
      <c r="AR353" s="235">
        <f>SUM(AR350:AR352)</f>
        <v>651336.56000000006</v>
      </c>
      <c r="AS353" s="235"/>
      <c r="AU353" s="135"/>
      <c r="AV353" s="143"/>
      <c r="BK353" s="136"/>
      <c r="BM353" s="136"/>
      <c r="BN353" s="136"/>
      <c r="BO353" s="136"/>
      <c r="BP353" s="176"/>
      <c r="BQ353" s="365"/>
      <c r="BR353" s="176"/>
      <c r="BS353" s="176"/>
      <c r="BT353" s="176"/>
      <c r="BU353" s="176"/>
      <c r="BV353" s="176"/>
      <c r="BW353" s="176"/>
      <c r="BX353" s="176"/>
      <c r="BY353" s="176"/>
      <c r="BZ353" s="176"/>
    </row>
    <row r="354" spans="2:87" ht="18" customHeight="1" x14ac:dyDescent="0.2">
      <c r="B354" s="168"/>
      <c r="AF354" s="143"/>
      <c r="AG354" s="143"/>
      <c r="AH354" s="143"/>
      <c r="AI354" s="143"/>
      <c r="AJ354" s="143"/>
      <c r="AK354" s="143"/>
      <c r="AL354" s="143"/>
      <c r="AM354" s="143"/>
      <c r="AN354" s="197" t="s">
        <v>53</v>
      </c>
      <c r="AO354" s="198"/>
      <c r="AP354" s="199"/>
      <c r="AQ354" s="199"/>
      <c r="AR354" s="200"/>
      <c r="AS354" s="153"/>
      <c r="AT354" s="153"/>
      <c r="AU354" s="135"/>
      <c r="AV354" s="143"/>
      <c r="BK354" s="136"/>
      <c r="BM354" s="136"/>
      <c r="BN354" s="136"/>
      <c r="BO354" s="136"/>
      <c r="BP354" s="176"/>
      <c r="BQ354" s="365"/>
      <c r="BR354" s="176"/>
      <c r="BS354" s="176"/>
      <c r="BT354" s="176"/>
      <c r="BU354" s="176"/>
      <c r="BV354" s="176"/>
      <c r="BW354" s="176"/>
      <c r="BX354" s="176"/>
      <c r="BY354" s="176"/>
      <c r="BZ354" s="176"/>
    </row>
    <row r="355" spans="2:87" ht="18" customHeight="1" x14ac:dyDescent="0.2">
      <c r="AF355" s="143"/>
      <c r="AG355" s="143"/>
      <c r="AH355" s="143"/>
      <c r="AI355" s="143"/>
      <c r="AJ355" s="143"/>
      <c r="AK355" s="143"/>
      <c r="AL355" s="143"/>
      <c r="AM355" s="143"/>
      <c r="AN355" s="224" t="s">
        <v>54</v>
      </c>
      <c r="AO355" s="225" t="s">
        <v>55</v>
      </c>
      <c r="AP355" s="226">
        <v>4</v>
      </c>
      <c r="AQ355" s="226">
        <v>1600.8</v>
      </c>
      <c r="AR355" s="215">
        <f>+ROUND(AP355*AQ355,2)</f>
        <v>6403.2</v>
      </c>
      <c r="AS355" s="194"/>
      <c r="AT355" s="194"/>
      <c r="AU355" s="135"/>
      <c r="AV355" s="143"/>
      <c r="BD355" s="152"/>
      <c r="BE355" s="148"/>
      <c r="BF355" s="206"/>
      <c r="BG355" s="194"/>
      <c r="BH355" s="144"/>
      <c r="BI355" s="194"/>
      <c r="BJ355" s="135"/>
      <c r="BK355" s="136"/>
      <c r="BM355" s="136"/>
      <c r="BN355" s="136"/>
      <c r="BO355" s="136"/>
      <c r="BP355" s="176"/>
      <c r="BQ355" s="365"/>
      <c r="BR355" s="176"/>
      <c r="BS355" s="176"/>
      <c r="BT355" s="176"/>
      <c r="BU355" s="176"/>
      <c r="BV355" s="176"/>
      <c r="BW355" s="176"/>
      <c r="BX355" s="176"/>
      <c r="BY355" s="176"/>
      <c r="BZ355" s="176"/>
    </row>
    <row r="356" spans="2:87" ht="18" customHeight="1" x14ac:dyDescent="0.2">
      <c r="AF356" s="143"/>
      <c r="AG356" s="143"/>
      <c r="AH356" s="143"/>
      <c r="AI356" s="143"/>
      <c r="AJ356" s="143"/>
      <c r="AK356" s="143"/>
      <c r="AL356" s="143"/>
      <c r="AM356" s="143"/>
      <c r="AN356" s="224" t="s">
        <v>56</v>
      </c>
      <c r="AO356" s="225" t="s">
        <v>55</v>
      </c>
      <c r="AP356" s="226">
        <v>4</v>
      </c>
      <c r="AQ356" s="226">
        <v>1354.6999999999998</v>
      </c>
      <c r="AR356" s="215">
        <f>+ROUND(AP356*AQ356,2)</f>
        <v>5418.8</v>
      </c>
      <c r="AS356" s="194"/>
      <c r="AT356" s="194"/>
      <c r="AU356" s="135"/>
      <c r="AV356" s="143"/>
      <c r="BD356" s="152"/>
      <c r="BE356" s="148"/>
      <c r="BF356" s="206"/>
      <c r="BG356" s="194"/>
      <c r="BH356" s="144"/>
      <c r="BI356" s="194"/>
      <c r="BJ356" s="135"/>
      <c r="BK356" s="136"/>
      <c r="BM356" s="136"/>
      <c r="BN356" s="136"/>
      <c r="BO356" s="136"/>
      <c r="BP356" s="176"/>
      <c r="BQ356" s="365"/>
      <c r="BR356" s="176"/>
      <c r="BS356" s="176"/>
      <c r="BT356" s="176"/>
      <c r="BU356" s="176"/>
      <c r="BV356" s="176"/>
      <c r="BW356" s="176"/>
      <c r="BX356" s="176"/>
      <c r="BY356" s="176"/>
      <c r="BZ356" s="176"/>
    </row>
    <row r="357" spans="2:87" ht="18" customHeight="1" x14ac:dyDescent="0.2">
      <c r="AF357" s="143"/>
      <c r="AG357" s="143"/>
      <c r="AH357" s="143"/>
      <c r="AI357" s="143"/>
      <c r="AJ357" s="143"/>
      <c r="AK357" s="143"/>
      <c r="AL357" s="143"/>
      <c r="AM357" s="143"/>
      <c r="AN357" s="248"/>
      <c r="AO357" s="249"/>
      <c r="AP357" s="219"/>
      <c r="AQ357" s="219"/>
      <c r="AR357" s="215"/>
      <c r="AS357" s="194"/>
      <c r="AT357" s="194"/>
      <c r="AU357" s="135"/>
      <c r="AV357" s="143"/>
      <c r="BD357" s="152"/>
      <c r="BE357" s="148"/>
      <c r="BF357" s="206"/>
      <c r="BG357" s="194"/>
      <c r="BH357" s="144"/>
      <c r="BI357" s="194"/>
      <c r="BJ357" s="135"/>
      <c r="BK357" s="136"/>
      <c r="BM357" s="136"/>
      <c r="BN357" s="136"/>
      <c r="BO357" s="136"/>
      <c r="BP357" s="176"/>
      <c r="BQ357" s="365"/>
      <c r="BR357" s="176"/>
      <c r="BS357" s="176"/>
      <c r="BT357" s="176"/>
      <c r="BU357" s="176"/>
      <c r="BV357" s="176"/>
      <c r="BW357" s="176"/>
      <c r="BX357" s="176"/>
      <c r="BY357" s="176"/>
      <c r="BZ357" s="176"/>
    </row>
    <row r="358" spans="2:87" ht="18" customHeight="1" x14ac:dyDescent="0.2">
      <c r="AF358" s="143"/>
      <c r="AG358" s="143"/>
      <c r="AH358" s="143"/>
      <c r="AI358" s="143"/>
      <c r="AJ358" s="143"/>
      <c r="AK358" s="143"/>
      <c r="AL358" s="143"/>
      <c r="AM358" s="143"/>
      <c r="AN358" s="232" t="s">
        <v>57</v>
      </c>
      <c r="AO358" s="233"/>
      <c r="AP358" s="234"/>
      <c r="AQ358" s="234"/>
      <c r="AR358" s="235">
        <f>SUM(AR355:AR357)</f>
        <v>11822</v>
      </c>
      <c r="AS358" s="138">
        <f>+AR358/AR353</f>
        <v>1.8150370677795208E-2</v>
      </c>
      <c r="AU358" s="135"/>
      <c r="AV358" s="143"/>
      <c r="BD358" s="152"/>
      <c r="BE358" s="148"/>
      <c r="BF358" s="206"/>
      <c r="BG358" s="194"/>
      <c r="BH358" s="144"/>
      <c r="BI358" s="194"/>
      <c r="BJ358" s="135"/>
      <c r="BK358" s="136"/>
      <c r="BN358" s="139"/>
      <c r="BO358" s="135"/>
      <c r="BP358" s="176"/>
      <c r="BQ358" s="365"/>
      <c r="BR358" s="176"/>
      <c r="BS358" s="176"/>
      <c r="BT358" s="176"/>
      <c r="BU358" s="176"/>
      <c r="BV358" s="176"/>
      <c r="BW358" s="176"/>
      <c r="BX358" s="176"/>
      <c r="BY358" s="176"/>
      <c r="BZ358" s="176"/>
    </row>
    <row r="359" spans="2:87" ht="18" customHeight="1" x14ac:dyDescent="0.2">
      <c r="AF359" s="143"/>
      <c r="AG359" s="143"/>
      <c r="AH359" s="143"/>
      <c r="AI359" s="143"/>
      <c r="AJ359" s="143"/>
      <c r="AK359" s="143"/>
      <c r="AL359" s="143"/>
      <c r="AM359" s="143"/>
      <c r="AN359" s="197" t="s">
        <v>58</v>
      </c>
      <c r="AO359" s="198"/>
      <c r="AP359" s="199"/>
      <c r="AQ359" s="199"/>
      <c r="AR359" s="200"/>
      <c r="AS359" s="153"/>
      <c r="AT359" s="153"/>
      <c r="AU359" s="135"/>
      <c r="AV359" s="143"/>
      <c r="BD359" s="152"/>
      <c r="BE359" s="148"/>
      <c r="BF359" s="206"/>
      <c r="BG359" s="194"/>
      <c r="BH359" s="144"/>
      <c r="BI359" s="194"/>
      <c r="BJ359" s="135"/>
      <c r="BK359" s="136"/>
      <c r="BN359" s="139"/>
      <c r="BO359" s="135"/>
      <c r="BP359" s="176"/>
      <c r="BQ359" s="365"/>
      <c r="BR359" s="176"/>
      <c r="BS359" s="176"/>
      <c r="BT359" s="176"/>
      <c r="BU359" s="176"/>
      <c r="BV359" s="176"/>
      <c r="BW359" s="176"/>
      <c r="BX359" s="176"/>
      <c r="BY359" s="176"/>
      <c r="BZ359" s="176"/>
    </row>
    <row r="360" spans="2:87" ht="18" customHeight="1" x14ac:dyDescent="0.2">
      <c r="AF360" s="143"/>
      <c r="AG360" s="143"/>
      <c r="AH360" s="143"/>
      <c r="AI360" s="143"/>
      <c r="AJ360" s="143"/>
      <c r="AK360" s="143"/>
      <c r="AL360" s="143"/>
      <c r="AM360" s="143"/>
      <c r="AN360" s="252" t="s">
        <v>59</v>
      </c>
      <c r="AO360" s="213" t="s">
        <v>60</v>
      </c>
      <c r="AP360" s="226">
        <v>180</v>
      </c>
      <c r="AQ360" s="226">
        <v>1.9600688000000004</v>
      </c>
      <c r="AR360" s="215">
        <f>+ROUND(AP360*AQ360,2)</f>
        <v>352.81</v>
      </c>
      <c r="AS360" s="194"/>
      <c r="AT360" s="194"/>
      <c r="AU360" s="135"/>
      <c r="AV360" s="143"/>
      <c r="BD360" s="152"/>
      <c r="BE360" s="148"/>
      <c r="BF360" s="206"/>
      <c r="BG360" s="194"/>
      <c r="BH360" s="144"/>
      <c r="BI360" s="194"/>
      <c r="BJ360" s="135"/>
      <c r="BK360" s="136"/>
      <c r="BN360" s="139"/>
      <c r="BO360" s="135"/>
      <c r="BP360" s="176"/>
      <c r="BQ360" s="365"/>
      <c r="BR360" s="176"/>
      <c r="BS360" s="176"/>
      <c r="BT360" s="176"/>
      <c r="BU360" s="176"/>
      <c r="BV360" s="176"/>
      <c r="BW360" s="176"/>
      <c r="BX360" s="176"/>
      <c r="BY360" s="176"/>
      <c r="BZ360" s="176"/>
    </row>
    <row r="361" spans="2:87" ht="18" customHeight="1" x14ac:dyDescent="0.2">
      <c r="AF361" s="143"/>
      <c r="AG361" s="143"/>
      <c r="AH361" s="143"/>
      <c r="AI361" s="143"/>
      <c r="AJ361" s="143"/>
      <c r="AK361" s="143"/>
      <c r="AL361" s="143"/>
      <c r="AM361" s="143"/>
      <c r="AN361" s="202" t="s">
        <v>62</v>
      </c>
      <c r="AO361" s="250"/>
      <c r="AP361" s="168"/>
      <c r="AQ361" s="168"/>
      <c r="AR361" s="251">
        <f>SUM(AR360:AR360)</f>
        <v>352.81</v>
      </c>
      <c r="AS361" s="194"/>
      <c r="AT361" s="194"/>
      <c r="AU361" s="135"/>
      <c r="AV361" s="143"/>
      <c r="BD361" s="152"/>
      <c r="BE361" s="148"/>
      <c r="BF361" s="206"/>
      <c r="BG361" s="194"/>
      <c r="BH361" s="144"/>
      <c r="BI361" s="194"/>
      <c r="BJ361" s="135"/>
      <c r="BK361" s="136"/>
      <c r="BN361" s="139"/>
      <c r="BO361" s="135"/>
      <c r="BP361" s="176"/>
      <c r="BQ361" s="365"/>
      <c r="BR361" s="176"/>
      <c r="BS361" s="176"/>
      <c r="BT361" s="176"/>
      <c r="BU361" s="176"/>
      <c r="BV361" s="176"/>
      <c r="BW361" s="176"/>
      <c r="BX361" s="176"/>
      <c r="BY361" s="176"/>
      <c r="BZ361" s="176"/>
    </row>
    <row r="362" spans="2:87" ht="18" customHeight="1" x14ac:dyDescent="0.2">
      <c r="AF362" s="143"/>
      <c r="AG362" s="143"/>
      <c r="AH362" s="143"/>
      <c r="AI362" s="143"/>
      <c r="AJ362" s="143"/>
      <c r="AK362" s="143"/>
      <c r="AL362" s="143"/>
      <c r="AM362" s="143"/>
      <c r="AN362" s="253" t="s">
        <v>63</v>
      </c>
      <c r="AO362" s="233"/>
      <c r="AP362" s="254" t="s">
        <v>64</v>
      </c>
      <c r="AQ362" s="255"/>
      <c r="AR362" s="256">
        <f>+AR353+AR358+AR361</f>
        <v>663511.37000000011</v>
      </c>
      <c r="AS362" s="194"/>
      <c r="AT362" s="194"/>
      <c r="AU362" s="135"/>
      <c r="AV362" s="143"/>
      <c r="BD362" s="152"/>
      <c r="BE362" s="148"/>
      <c r="BF362" s="206"/>
      <c r="BG362" s="194"/>
      <c r="BH362" s="144"/>
      <c r="BI362" s="194"/>
      <c r="BJ362" s="135"/>
      <c r="BK362" s="136"/>
      <c r="BN362" s="139"/>
      <c r="BO362" s="135"/>
      <c r="BP362" s="176"/>
      <c r="BQ362" s="365"/>
      <c r="BR362" s="176"/>
      <c r="BS362" s="176"/>
      <c r="BT362" s="176"/>
      <c r="BU362" s="176"/>
      <c r="BV362" s="176"/>
      <c r="BW362" s="176"/>
      <c r="BX362" s="176"/>
      <c r="BY362" s="176"/>
      <c r="BZ362" s="176"/>
    </row>
    <row r="363" spans="2:87" ht="18" customHeight="1" x14ac:dyDescent="0.2">
      <c r="AF363" s="143"/>
      <c r="AG363" s="143"/>
      <c r="AH363" s="143"/>
      <c r="AI363" s="143"/>
      <c r="AJ363" s="143"/>
      <c r="AK363" s="143"/>
      <c r="AL363" s="143"/>
      <c r="AM363" s="143"/>
      <c r="AN363" s="152"/>
      <c r="AO363" s="153"/>
      <c r="AP363" s="145"/>
      <c r="AQ363" s="145"/>
      <c r="AR363" s="145"/>
      <c r="AS363" s="154"/>
      <c r="AT363" s="154"/>
      <c r="AU363" s="135"/>
      <c r="AV363" s="143"/>
      <c r="BD363" s="152"/>
      <c r="BE363" s="148"/>
      <c r="BF363" s="206"/>
      <c r="BG363" s="194"/>
      <c r="BH363" s="144"/>
      <c r="BI363" s="194"/>
      <c r="BJ363" s="135"/>
      <c r="BK363" s="136"/>
      <c r="BM363" s="206"/>
      <c r="BN363" s="153"/>
      <c r="BO363" s="206"/>
      <c r="BP363" s="135"/>
      <c r="BQ363" s="365"/>
      <c r="BR363" s="176"/>
      <c r="BS363" s="176"/>
      <c r="BT363" s="176"/>
      <c r="BU363" s="176"/>
      <c r="BV363" s="176"/>
      <c r="BW363" s="176"/>
      <c r="BX363" s="176"/>
      <c r="BY363" s="176"/>
      <c r="BZ363" s="176"/>
    </row>
    <row r="364" spans="2:87" ht="18" customHeight="1" x14ac:dyDescent="0.2">
      <c r="AF364" s="143"/>
      <c r="AG364" s="143"/>
      <c r="AH364" s="143"/>
      <c r="AI364" s="143"/>
      <c r="AJ364" s="143"/>
      <c r="AK364" s="143"/>
      <c r="AL364" s="143"/>
      <c r="AM364" s="143"/>
      <c r="AN364" s="155" t="s">
        <v>399</v>
      </c>
      <c r="AO364" s="169"/>
      <c r="AP364" s="172"/>
      <c r="AQ364" s="172"/>
      <c r="AR364" s="173"/>
      <c r="AS364" s="154"/>
      <c r="AT364" s="154"/>
      <c r="AU364" s="135"/>
      <c r="AV364" s="143"/>
      <c r="BD364" s="152"/>
      <c r="BE364" s="148"/>
      <c r="BF364" s="206"/>
      <c r="BG364" s="194"/>
      <c r="BH364" s="144"/>
      <c r="BI364" s="194"/>
      <c r="BJ364" s="135"/>
      <c r="BK364" s="136"/>
      <c r="BM364" s="206"/>
      <c r="BN364" s="153"/>
      <c r="BO364" s="206"/>
      <c r="BP364" s="135"/>
      <c r="BQ364" s="365"/>
      <c r="BR364" s="176"/>
      <c r="BS364" s="176"/>
      <c r="BT364" s="176"/>
      <c r="BU364" s="176"/>
      <c r="BV364" s="176"/>
      <c r="BW364" s="176"/>
      <c r="BX364" s="176"/>
      <c r="BY364" s="176"/>
      <c r="BZ364" s="176"/>
    </row>
    <row r="365" spans="2:87" ht="18" customHeight="1" x14ac:dyDescent="0.2">
      <c r="AF365" s="143"/>
      <c r="AG365" s="143"/>
      <c r="AH365" s="143"/>
      <c r="AI365" s="143"/>
      <c r="AJ365" s="143"/>
      <c r="AK365" s="143"/>
      <c r="AL365" s="143"/>
      <c r="AM365" s="143"/>
      <c r="AN365" s="177" t="s">
        <v>408</v>
      </c>
      <c r="AO365" s="150"/>
      <c r="AP365" s="178"/>
      <c r="AQ365" s="149"/>
      <c r="AR365" s="179" t="str">
        <f>$G$81</f>
        <v>Un</v>
      </c>
      <c r="AS365" s="180">
        <f>$H$81</f>
        <v>1</v>
      </c>
      <c r="AT365" s="180"/>
      <c r="AU365" s="135"/>
      <c r="AV365" s="143"/>
      <c r="BD365" s="152"/>
      <c r="BE365" s="148"/>
      <c r="BF365" s="206"/>
      <c r="BG365" s="194"/>
      <c r="BH365" s="144"/>
      <c r="BI365" s="194"/>
      <c r="BJ365" s="135"/>
      <c r="BK365" s="136"/>
      <c r="BM365" s="206"/>
      <c r="BN365" s="153"/>
      <c r="BO365" s="206"/>
      <c r="BP365" s="135"/>
      <c r="BQ365" s="135"/>
      <c r="BT365" s="136"/>
      <c r="BU365" s="149"/>
      <c r="BX365" s="136"/>
      <c r="BY365" s="176"/>
      <c r="BZ365" s="365"/>
      <c r="CA365" s="176"/>
      <c r="CB365" s="176"/>
      <c r="CC365" s="176"/>
      <c r="CD365" s="176"/>
      <c r="CE365" s="176"/>
      <c r="CF365" s="176"/>
      <c r="CG365" s="176"/>
      <c r="CH365" s="176"/>
      <c r="CI365" s="176"/>
    </row>
    <row r="366" spans="2:87" ht="18" customHeight="1" thickBot="1" x14ac:dyDescent="0.25">
      <c r="AF366" s="143"/>
      <c r="AG366" s="143"/>
      <c r="AH366" s="143"/>
      <c r="AI366" s="143"/>
      <c r="AJ366" s="143"/>
      <c r="AK366" s="143"/>
      <c r="AL366" s="143"/>
      <c r="AM366" s="143"/>
      <c r="AN366" s="183"/>
      <c r="AO366" s="184"/>
      <c r="AP366" s="185"/>
      <c r="AQ366" s="185"/>
      <c r="AR366" s="186"/>
      <c r="AU366" s="135"/>
      <c r="AV366" s="143"/>
      <c r="BD366" s="152"/>
      <c r="BE366" s="148"/>
      <c r="BF366" s="206"/>
      <c r="BG366" s="194"/>
      <c r="BH366" s="144"/>
      <c r="BI366" s="194"/>
      <c r="BJ366" s="135"/>
      <c r="BK366" s="136"/>
      <c r="BM366" s="206"/>
      <c r="BN366" s="153"/>
      <c r="BO366" s="206"/>
      <c r="BP366" s="135"/>
      <c r="BQ366" s="135"/>
      <c r="BT366" s="136"/>
      <c r="BU366" s="149"/>
      <c r="BX366" s="136"/>
      <c r="BY366" s="176"/>
      <c r="BZ366" s="365"/>
      <c r="CA366" s="176"/>
      <c r="CB366" s="176"/>
      <c r="CC366" s="176"/>
      <c r="CD366" s="176"/>
      <c r="CE366" s="176"/>
      <c r="CF366" s="176"/>
      <c r="CG366" s="176"/>
      <c r="CH366" s="176"/>
      <c r="CI366" s="176"/>
    </row>
    <row r="367" spans="2:87" ht="18" customHeight="1" thickTop="1" x14ac:dyDescent="0.2">
      <c r="AF367" s="143"/>
      <c r="AG367" s="143"/>
      <c r="AH367" s="143"/>
      <c r="AI367" s="143"/>
      <c r="AJ367" s="143"/>
      <c r="AK367" s="143"/>
      <c r="AL367" s="143"/>
      <c r="AM367" s="143"/>
      <c r="AN367" s="191" t="s">
        <v>31</v>
      </c>
      <c r="AO367" s="192" t="s">
        <v>32</v>
      </c>
      <c r="AP367" s="192" t="s">
        <v>33</v>
      </c>
      <c r="AQ367" s="192" t="s">
        <v>1</v>
      </c>
      <c r="AR367" s="192" t="s">
        <v>34</v>
      </c>
      <c r="AS367" s="193" t="s">
        <v>76</v>
      </c>
      <c r="AT367" s="153"/>
      <c r="AU367" s="135"/>
      <c r="AV367" s="143"/>
      <c r="BD367" s="152"/>
      <c r="BE367" s="148"/>
      <c r="BF367" s="206"/>
      <c r="BG367" s="194"/>
      <c r="BH367" s="144"/>
      <c r="BI367" s="194"/>
      <c r="BJ367" s="135"/>
      <c r="BK367" s="136"/>
      <c r="BN367" s="139"/>
      <c r="BO367" s="135"/>
      <c r="BP367" s="135"/>
      <c r="BQ367" s="135"/>
      <c r="BT367" s="136"/>
      <c r="BU367" s="149"/>
      <c r="BX367" s="136"/>
      <c r="BY367" s="176"/>
      <c r="BZ367" s="365"/>
      <c r="CA367" s="176"/>
      <c r="CB367" s="176"/>
      <c r="CC367" s="176"/>
      <c r="CD367" s="176"/>
      <c r="CE367" s="176"/>
      <c r="CF367" s="176"/>
      <c r="CG367" s="176"/>
      <c r="CH367" s="176"/>
      <c r="CI367" s="176"/>
    </row>
    <row r="368" spans="2:87" ht="18" customHeight="1" x14ac:dyDescent="0.2">
      <c r="AF368" s="143"/>
      <c r="AG368" s="143"/>
      <c r="AH368" s="143"/>
      <c r="AI368" s="143"/>
      <c r="AJ368" s="143"/>
      <c r="AK368" s="143"/>
      <c r="AL368" s="143"/>
      <c r="AM368" s="143"/>
      <c r="AN368" s="197" t="s">
        <v>37</v>
      </c>
      <c r="AO368" s="198"/>
      <c r="AP368" s="199"/>
      <c r="AQ368" s="199"/>
      <c r="AR368" s="200"/>
      <c r="AS368" s="201"/>
      <c r="AT368" s="194"/>
      <c r="AU368" s="135"/>
      <c r="AV368" s="143"/>
      <c r="BD368" s="152"/>
      <c r="BE368" s="148"/>
      <c r="BF368" s="206"/>
      <c r="BG368" s="194"/>
      <c r="BH368" s="144"/>
      <c r="BI368" s="194"/>
      <c r="BJ368" s="135"/>
      <c r="BK368" s="136"/>
      <c r="BN368" s="139"/>
      <c r="BO368" s="135"/>
      <c r="BP368" s="206"/>
      <c r="BQ368" s="135"/>
      <c r="BT368" s="136"/>
      <c r="BU368" s="149"/>
      <c r="BX368" s="136"/>
      <c r="BY368" s="176"/>
      <c r="BZ368" s="365"/>
      <c r="CA368" s="176"/>
      <c r="CB368" s="176"/>
      <c r="CC368" s="176"/>
      <c r="CD368" s="176"/>
      <c r="CE368" s="176"/>
      <c r="CF368" s="176"/>
      <c r="CG368" s="176"/>
      <c r="CH368" s="176"/>
      <c r="CI368" s="176"/>
    </row>
    <row r="369" spans="32:87" ht="18" customHeight="1" x14ac:dyDescent="0.2">
      <c r="AF369" s="143"/>
      <c r="AG369" s="143"/>
      <c r="AH369" s="143"/>
      <c r="AI369" s="143"/>
      <c r="AJ369" s="143"/>
      <c r="AK369" s="143"/>
      <c r="AL369" s="143"/>
      <c r="AM369" s="143"/>
      <c r="AN369" s="216" t="s">
        <v>408</v>
      </c>
      <c r="AO369" s="213" t="s">
        <v>28</v>
      </c>
      <c r="AP369" s="214">
        <v>1</v>
      </c>
      <c r="AQ369" s="214">
        <v>835284.72510000004</v>
      </c>
      <c r="AR369" s="215">
        <f>+ROUND(AP369*AQ369,2)</f>
        <v>835284.73</v>
      </c>
      <c r="AS369" s="201"/>
      <c r="AT369" s="194"/>
      <c r="AU369" s="135"/>
      <c r="AV369" s="143"/>
      <c r="BD369" s="152"/>
      <c r="BE369" s="148"/>
      <c r="BF369" s="206"/>
      <c r="BG369" s="194"/>
      <c r="BH369" s="144"/>
      <c r="BI369" s="194"/>
      <c r="BJ369" s="135"/>
      <c r="BK369" s="136"/>
      <c r="BN369" s="139"/>
      <c r="BO369" s="135"/>
      <c r="BP369" s="206"/>
      <c r="BQ369" s="135"/>
      <c r="BT369" s="136"/>
      <c r="BU369" s="149"/>
      <c r="BX369" s="136"/>
      <c r="BY369" s="176"/>
      <c r="BZ369" s="365"/>
      <c r="CA369" s="176"/>
      <c r="CB369" s="176"/>
      <c r="CC369" s="176"/>
      <c r="CD369" s="176"/>
      <c r="CE369" s="176"/>
      <c r="CF369" s="176"/>
      <c r="CG369" s="176"/>
      <c r="CH369" s="176"/>
      <c r="CI369" s="176"/>
    </row>
    <row r="370" spans="32:87" ht="18" customHeight="1" x14ac:dyDescent="0.2">
      <c r="AF370" s="143"/>
      <c r="AG370" s="143"/>
      <c r="AH370" s="143"/>
      <c r="AI370" s="143"/>
      <c r="AJ370" s="143"/>
      <c r="AK370" s="143"/>
      <c r="AL370" s="143"/>
      <c r="AM370" s="143"/>
      <c r="AN370" s="216" t="s">
        <v>323</v>
      </c>
      <c r="AO370" s="213" t="s">
        <v>28</v>
      </c>
      <c r="AP370" s="214">
        <v>1</v>
      </c>
      <c r="AQ370" s="214">
        <v>25058.5419</v>
      </c>
      <c r="AR370" s="215">
        <f>+ROUND(AP370*AQ370,2)</f>
        <v>25058.54</v>
      </c>
      <c r="AS370" s="201"/>
      <c r="AT370" s="194"/>
      <c r="AU370" s="135"/>
      <c r="AV370" s="143"/>
      <c r="BD370" s="152"/>
      <c r="BE370" s="148"/>
      <c r="BF370" s="206"/>
      <c r="BG370" s="194"/>
      <c r="BH370" s="144"/>
      <c r="BI370" s="194"/>
      <c r="BJ370" s="135"/>
      <c r="BK370" s="136"/>
      <c r="BN370" s="139"/>
      <c r="BO370" s="135"/>
      <c r="BP370" s="206"/>
      <c r="BQ370" s="135"/>
      <c r="BT370" s="136"/>
      <c r="BU370" s="149"/>
      <c r="BX370" s="136"/>
      <c r="BY370" s="176"/>
      <c r="BZ370" s="365"/>
      <c r="CA370" s="176"/>
      <c r="CB370" s="176"/>
      <c r="CC370" s="176"/>
      <c r="CD370" s="176"/>
      <c r="CE370" s="176"/>
      <c r="CF370" s="176"/>
      <c r="CG370" s="176"/>
      <c r="CH370" s="176"/>
      <c r="CI370" s="176"/>
    </row>
    <row r="371" spans="32:87" ht="18" customHeight="1" x14ac:dyDescent="0.2">
      <c r="AF371" s="143"/>
      <c r="AG371" s="143"/>
      <c r="AH371" s="143"/>
      <c r="AI371" s="143"/>
      <c r="AJ371" s="143"/>
      <c r="AK371" s="143"/>
      <c r="AL371" s="143"/>
      <c r="AM371" s="143"/>
      <c r="AN371" s="224" t="s">
        <v>50</v>
      </c>
      <c r="AO371" s="225" t="s">
        <v>28</v>
      </c>
      <c r="AP371" s="226">
        <v>0.03</v>
      </c>
      <c r="AQ371" s="219">
        <v>860343.27</v>
      </c>
      <c r="AR371" s="215">
        <f>+ROUND(AP371*AQ371,2)</f>
        <v>25810.3</v>
      </c>
      <c r="AS371" s="201"/>
      <c r="AT371" s="194"/>
      <c r="AU371" s="135"/>
      <c r="AV371" s="143"/>
      <c r="BD371" s="152"/>
      <c r="BE371" s="148"/>
      <c r="BF371" s="206"/>
      <c r="BG371" s="194"/>
      <c r="BH371" s="144"/>
      <c r="BI371" s="194"/>
      <c r="BJ371" s="135"/>
      <c r="BK371" s="136"/>
      <c r="BN371" s="139"/>
      <c r="BO371" s="135"/>
      <c r="BP371" s="206"/>
      <c r="BQ371" s="135"/>
      <c r="BT371" s="136"/>
      <c r="BU371" s="149"/>
      <c r="BX371" s="136"/>
      <c r="BY371" s="176"/>
      <c r="BZ371" s="365"/>
      <c r="CA371" s="176"/>
      <c r="CB371" s="176"/>
      <c r="CC371" s="176"/>
      <c r="CD371" s="176"/>
      <c r="CE371" s="176"/>
      <c r="CF371" s="176"/>
      <c r="CG371" s="176"/>
      <c r="CH371" s="176"/>
      <c r="CI371" s="176"/>
    </row>
    <row r="372" spans="32:87" ht="18" customHeight="1" x14ac:dyDescent="0.2">
      <c r="AF372" s="143"/>
      <c r="AG372" s="143"/>
      <c r="AH372" s="143"/>
      <c r="AI372" s="143"/>
      <c r="AJ372" s="143"/>
      <c r="AK372" s="143"/>
      <c r="AL372" s="143"/>
      <c r="AM372" s="143"/>
      <c r="AN372" s="232" t="s">
        <v>51</v>
      </c>
      <c r="AO372" s="233"/>
      <c r="AP372" s="234"/>
      <c r="AQ372" s="234"/>
      <c r="AR372" s="235">
        <f>SUM(AR369:AR371)</f>
        <v>886153.57000000007</v>
      </c>
      <c r="AS372" s="235"/>
      <c r="AU372" s="135"/>
      <c r="AV372" s="143"/>
      <c r="BD372" s="152"/>
      <c r="BE372" s="148"/>
      <c r="BF372" s="206"/>
      <c r="BG372" s="194"/>
      <c r="BH372" s="144"/>
      <c r="BI372" s="194"/>
      <c r="BJ372" s="135"/>
      <c r="BK372" s="136"/>
      <c r="BN372" s="139"/>
      <c r="BO372" s="135"/>
      <c r="BP372" s="135"/>
      <c r="BQ372" s="135"/>
      <c r="BT372" s="136"/>
      <c r="BU372" s="149"/>
      <c r="BX372" s="136"/>
      <c r="BY372" s="176"/>
      <c r="BZ372" s="365"/>
      <c r="CA372" s="176"/>
      <c r="CB372" s="176"/>
      <c r="CC372" s="176"/>
      <c r="CD372" s="176"/>
      <c r="CE372" s="176"/>
      <c r="CF372" s="176"/>
      <c r="CG372" s="176"/>
      <c r="CH372" s="176"/>
      <c r="CI372" s="176"/>
    </row>
    <row r="373" spans="32:87" ht="18" customHeight="1" x14ac:dyDescent="0.2">
      <c r="AF373" s="143"/>
      <c r="AG373" s="143"/>
      <c r="AH373" s="143"/>
      <c r="AI373" s="143"/>
      <c r="AJ373" s="143"/>
      <c r="AK373" s="143"/>
      <c r="AL373" s="143"/>
      <c r="AM373" s="143"/>
      <c r="AN373" s="197" t="s">
        <v>53</v>
      </c>
      <c r="AO373" s="198"/>
      <c r="AP373" s="199"/>
      <c r="AQ373" s="199"/>
      <c r="AR373" s="200"/>
      <c r="AS373" s="153"/>
      <c r="AT373" s="153"/>
      <c r="AU373" s="135"/>
      <c r="AV373" s="143"/>
      <c r="BD373" s="152"/>
      <c r="BE373" s="148"/>
      <c r="BF373" s="206"/>
      <c r="BG373" s="194"/>
      <c r="BH373" s="144"/>
      <c r="BI373" s="194"/>
      <c r="BJ373" s="135"/>
      <c r="BK373" s="136"/>
      <c r="BN373" s="139"/>
      <c r="BO373" s="135"/>
      <c r="BP373" s="135"/>
      <c r="BQ373" s="135"/>
      <c r="BT373" s="136"/>
      <c r="BU373" s="149"/>
      <c r="BX373" s="136"/>
      <c r="BY373" s="176"/>
      <c r="BZ373" s="365"/>
      <c r="CA373" s="176"/>
      <c r="CB373" s="176"/>
      <c r="CC373" s="176"/>
      <c r="CD373" s="176"/>
      <c r="CE373" s="176"/>
      <c r="CF373" s="176"/>
      <c r="CG373" s="176"/>
      <c r="CH373" s="176"/>
      <c r="CI373" s="176"/>
    </row>
    <row r="374" spans="32:87" ht="18" customHeight="1" x14ac:dyDescent="0.2">
      <c r="AF374" s="143"/>
      <c r="AG374" s="143"/>
      <c r="AH374" s="143"/>
      <c r="AI374" s="143"/>
      <c r="AJ374" s="143"/>
      <c r="AK374" s="143"/>
      <c r="AL374" s="143"/>
      <c r="AM374" s="143"/>
      <c r="AN374" s="224" t="s">
        <v>54</v>
      </c>
      <c r="AO374" s="225" t="s">
        <v>55</v>
      </c>
      <c r="AP374" s="226">
        <v>8</v>
      </c>
      <c r="AQ374" s="226">
        <v>1600.8</v>
      </c>
      <c r="AR374" s="215">
        <f>+ROUND(AP374*AQ374,2)</f>
        <v>12806.4</v>
      </c>
      <c r="AS374" s="194"/>
      <c r="AT374" s="194"/>
      <c r="AU374" s="135"/>
      <c r="AV374" s="143"/>
      <c r="BD374" s="152"/>
      <c r="BE374" s="148"/>
      <c r="BF374" s="206"/>
      <c r="BG374" s="194"/>
      <c r="BH374" s="144"/>
      <c r="BI374" s="194"/>
      <c r="BJ374" s="135"/>
      <c r="BK374" s="136"/>
      <c r="BM374" s="136"/>
      <c r="BN374" s="136"/>
      <c r="BO374" s="136"/>
      <c r="BP374" s="135"/>
      <c r="BQ374" s="135"/>
      <c r="BT374" s="136"/>
      <c r="BU374" s="149"/>
      <c r="BX374" s="136"/>
      <c r="BY374" s="176"/>
      <c r="BZ374" s="365"/>
      <c r="CA374" s="176"/>
      <c r="CB374" s="176"/>
      <c r="CC374" s="176"/>
      <c r="CD374" s="176"/>
      <c r="CE374" s="176"/>
      <c r="CF374" s="176"/>
      <c r="CG374" s="176"/>
      <c r="CH374" s="176"/>
      <c r="CI374" s="176"/>
    </row>
    <row r="375" spans="32:87" ht="18" customHeight="1" x14ac:dyDescent="0.2">
      <c r="AF375" s="143"/>
      <c r="AG375" s="143"/>
      <c r="AH375" s="143"/>
      <c r="AI375" s="143"/>
      <c r="AJ375" s="143"/>
      <c r="AK375" s="143"/>
      <c r="AL375" s="143"/>
      <c r="AM375" s="143"/>
      <c r="AN375" s="224" t="s">
        <v>56</v>
      </c>
      <c r="AO375" s="225" t="s">
        <v>55</v>
      </c>
      <c r="AP375" s="226">
        <v>4</v>
      </c>
      <c r="AQ375" s="226">
        <v>1354.6999999999998</v>
      </c>
      <c r="AR375" s="215">
        <f>+ROUND(AP375*AQ375,2)</f>
        <v>5418.8</v>
      </c>
      <c r="AS375" s="194"/>
      <c r="AT375" s="194"/>
      <c r="AU375" s="135"/>
      <c r="AV375" s="143"/>
      <c r="BD375" s="152"/>
      <c r="BE375" s="148"/>
      <c r="BF375" s="206"/>
      <c r="BG375" s="194"/>
      <c r="BH375" s="144"/>
      <c r="BI375" s="194"/>
      <c r="BJ375" s="135"/>
      <c r="BK375" s="136"/>
      <c r="BM375" s="136"/>
      <c r="BN375" s="136"/>
      <c r="BO375" s="136"/>
      <c r="BP375" s="135"/>
      <c r="BQ375" s="135"/>
      <c r="BT375" s="136"/>
      <c r="BU375" s="149"/>
      <c r="BX375" s="136"/>
      <c r="BY375" s="176"/>
      <c r="BZ375" s="365"/>
      <c r="CA375" s="176"/>
      <c r="CB375" s="176"/>
      <c r="CC375" s="176"/>
      <c r="CD375" s="176"/>
      <c r="CE375" s="176"/>
      <c r="CF375" s="176"/>
      <c r="CG375" s="176"/>
      <c r="CH375" s="176"/>
      <c r="CI375" s="176"/>
    </row>
    <row r="376" spans="32:87" ht="18" customHeight="1" x14ac:dyDescent="0.2">
      <c r="AF376" s="143"/>
      <c r="AG376" s="143"/>
      <c r="AH376" s="143"/>
      <c r="AI376" s="143"/>
      <c r="AJ376" s="143"/>
      <c r="AK376" s="143"/>
      <c r="AL376" s="143"/>
      <c r="AM376" s="143"/>
      <c r="AN376" s="248"/>
      <c r="AO376" s="249"/>
      <c r="AP376" s="219"/>
      <c r="AQ376" s="219"/>
      <c r="AR376" s="215"/>
      <c r="AS376" s="194"/>
      <c r="AT376" s="194"/>
      <c r="AU376" s="135"/>
      <c r="AV376" s="143"/>
      <c r="BD376" s="152"/>
      <c r="BE376" s="148"/>
      <c r="BF376" s="206"/>
      <c r="BG376" s="194"/>
      <c r="BH376" s="144"/>
      <c r="BI376" s="194"/>
      <c r="BJ376" s="135"/>
      <c r="BK376" s="136"/>
      <c r="BM376" s="136"/>
      <c r="BN376" s="136"/>
      <c r="BO376" s="136"/>
      <c r="BP376" s="135"/>
      <c r="BQ376" s="135"/>
      <c r="BT376" s="136"/>
      <c r="BU376" s="149"/>
      <c r="BX376" s="136"/>
      <c r="BY376" s="176"/>
      <c r="BZ376" s="147"/>
      <c r="CA376" s="176"/>
      <c r="CB376" s="176"/>
      <c r="CC376" s="176"/>
      <c r="CD376" s="176"/>
      <c r="CE376" s="176"/>
      <c r="CF376" s="176"/>
      <c r="CG376" s="176"/>
      <c r="CH376" s="176"/>
      <c r="CI376" s="176"/>
    </row>
    <row r="377" spans="32:87" ht="18" customHeight="1" x14ac:dyDescent="0.2">
      <c r="AF377" s="143"/>
      <c r="AG377" s="143"/>
      <c r="AH377" s="143"/>
      <c r="AI377" s="143"/>
      <c r="AJ377" s="143"/>
      <c r="AK377" s="143"/>
      <c r="AL377" s="143"/>
      <c r="AM377" s="143"/>
      <c r="AN377" s="232" t="s">
        <v>57</v>
      </c>
      <c r="AO377" s="233"/>
      <c r="AP377" s="234"/>
      <c r="AQ377" s="234"/>
      <c r="AR377" s="235">
        <f>SUM(AR374:AR376)</f>
        <v>18225.2</v>
      </c>
      <c r="AS377" s="138">
        <f>+AR377/AR372</f>
        <v>2.0566638353665945E-2</v>
      </c>
      <c r="AU377" s="135"/>
      <c r="AV377" s="143"/>
      <c r="BD377" s="152"/>
      <c r="BE377" s="148"/>
      <c r="BF377" s="206"/>
      <c r="BG377" s="194"/>
      <c r="BH377" s="144"/>
      <c r="BI377" s="194"/>
      <c r="BJ377" s="135"/>
      <c r="BK377" s="136"/>
      <c r="BM377" s="136"/>
      <c r="BN377" s="136"/>
      <c r="BO377" s="136"/>
      <c r="BP377" s="135"/>
      <c r="BQ377" s="135"/>
      <c r="BT377" s="136"/>
      <c r="BU377" s="149"/>
      <c r="BX377" s="136"/>
      <c r="BY377" s="176"/>
      <c r="BZ377" s="147"/>
      <c r="CA377" s="176"/>
      <c r="CB377" s="176"/>
      <c r="CC377" s="176"/>
      <c r="CD377" s="176"/>
      <c r="CE377" s="176"/>
      <c r="CF377" s="176"/>
      <c r="CG377" s="176"/>
      <c r="CH377" s="176"/>
      <c r="CI377" s="176"/>
    </row>
    <row r="378" spans="32:87" ht="18" customHeight="1" x14ac:dyDescent="0.2">
      <c r="AF378" s="143"/>
      <c r="AG378" s="143"/>
      <c r="AH378" s="143"/>
      <c r="AI378" s="143"/>
      <c r="AJ378" s="143"/>
      <c r="AK378" s="143"/>
      <c r="AL378" s="143"/>
      <c r="AM378" s="143"/>
      <c r="AN378" s="197" t="s">
        <v>58</v>
      </c>
      <c r="AO378" s="198"/>
      <c r="AP378" s="199"/>
      <c r="AQ378" s="199"/>
      <c r="AR378" s="200"/>
      <c r="AS378" s="153"/>
      <c r="AT378" s="153"/>
      <c r="AU378" s="135"/>
      <c r="AV378" s="143"/>
      <c r="BD378" s="152"/>
      <c r="BE378" s="148"/>
      <c r="BF378" s="206"/>
      <c r="BG378" s="194"/>
      <c r="BH378" s="144"/>
      <c r="BI378" s="194"/>
      <c r="BJ378" s="135"/>
      <c r="BK378" s="136"/>
      <c r="BM378" s="136"/>
      <c r="BN378" s="136"/>
      <c r="BO378" s="136"/>
      <c r="BP378" s="135"/>
      <c r="BQ378" s="135"/>
      <c r="BT378" s="136"/>
      <c r="BU378" s="149"/>
      <c r="BX378" s="136"/>
      <c r="BY378" s="176"/>
      <c r="BZ378" s="147"/>
      <c r="CA378" s="176"/>
      <c r="CB378" s="176"/>
      <c r="CC378" s="176"/>
      <c r="CD378" s="176"/>
      <c r="CE378" s="176"/>
      <c r="CF378" s="176"/>
      <c r="CG378" s="176"/>
      <c r="CH378" s="176"/>
      <c r="CI378" s="176"/>
    </row>
    <row r="379" spans="32:87" ht="18" customHeight="1" x14ac:dyDescent="0.2">
      <c r="AF379" s="143"/>
      <c r="AG379" s="143"/>
      <c r="AH379" s="143"/>
      <c r="AI379" s="143"/>
      <c r="AJ379" s="143"/>
      <c r="AK379" s="143"/>
      <c r="AL379" s="143"/>
      <c r="AM379" s="143"/>
      <c r="AN379" s="252" t="s">
        <v>59</v>
      </c>
      <c r="AO379" s="213" t="s">
        <v>60</v>
      </c>
      <c r="AP379" s="226">
        <v>280</v>
      </c>
      <c r="AQ379" s="226">
        <v>1.9600688000000004</v>
      </c>
      <c r="AR379" s="215">
        <f>+ROUND(AP379*AQ379,2)</f>
        <v>548.82000000000005</v>
      </c>
      <c r="AS379" s="194"/>
      <c r="AT379" s="194"/>
      <c r="AU379" s="135"/>
      <c r="AV379" s="143"/>
      <c r="BD379" s="152"/>
      <c r="BE379" s="148"/>
      <c r="BF379" s="206"/>
      <c r="BG379" s="194"/>
      <c r="BH379" s="144"/>
      <c r="BI379" s="194"/>
      <c r="BJ379" s="135"/>
      <c r="BK379" s="136"/>
      <c r="BL379" s="149"/>
      <c r="BM379" s="136"/>
      <c r="BN379" s="136"/>
      <c r="BO379" s="136"/>
      <c r="BP379" s="176"/>
      <c r="BQ379" s="135"/>
      <c r="BT379" s="136"/>
      <c r="BU379" s="149"/>
      <c r="BX379" s="136"/>
      <c r="BY379" s="176"/>
      <c r="BZ379" s="147"/>
      <c r="CA379" s="176"/>
      <c r="CB379" s="176"/>
      <c r="CC379" s="176"/>
      <c r="CD379" s="176"/>
      <c r="CE379" s="176"/>
      <c r="CF379" s="176"/>
      <c r="CG379" s="176"/>
      <c r="CH379" s="176"/>
      <c r="CI379" s="176"/>
    </row>
    <row r="380" spans="32:87" ht="18" customHeight="1" x14ac:dyDescent="0.2">
      <c r="AF380" s="143"/>
      <c r="AG380" s="143"/>
      <c r="AH380" s="143"/>
      <c r="AI380" s="143"/>
      <c r="AJ380" s="143"/>
      <c r="AK380" s="143"/>
      <c r="AL380" s="143"/>
      <c r="AM380" s="143"/>
      <c r="AN380" s="202" t="s">
        <v>62</v>
      </c>
      <c r="AO380" s="250"/>
      <c r="AP380" s="168"/>
      <c r="AQ380" s="168"/>
      <c r="AR380" s="251">
        <f>SUM(AR379:AR379)</f>
        <v>548.82000000000005</v>
      </c>
      <c r="AS380" s="194"/>
      <c r="AT380" s="194"/>
      <c r="AU380" s="135"/>
      <c r="AV380" s="143"/>
      <c r="BD380" s="152"/>
      <c r="BE380" s="148"/>
      <c r="BF380" s="206"/>
      <c r="BG380" s="194"/>
      <c r="BH380" s="144"/>
      <c r="BI380" s="194"/>
      <c r="BJ380" s="135"/>
      <c r="BK380" s="136"/>
      <c r="BL380" s="149"/>
      <c r="BM380" s="136"/>
      <c r="BN380" s="136"/>
      <c r="BO380" s="136"/>
      <c r="BP380" s="176"/>
      <c r="BQ380" s="135"/>
      <c r="BT380" s="136"/>
      <c r="BU380" s="149"/>
      <c r="BX380" s="136"/>
      <c r="BY380" s="176"/>
      <c r="BZ380" s="147"/>
      <c r="CA380" s="176"/>
      <c r="CB380" s="176"/>
      <c r="CC380" s="176"/>
      <c r="CD380" s="176"/>
      <c r="CE380" s="176"/>
      <c r="CF380" s="176"/>
      <c r="CG380" s="176"/>
      <c r="CH380" s="176"/>
      <c r="CI380" s="176"/>
    </row>
    <row r="381" spans="32:87" ht="18" customHeight="1" x14ac:dyDescent="0.2">
      <c r="AF381" s="143"/>
      <c r="AG381" s="143"/>
      <c r="AH381" s="143"/>
      <c r="AI381" s="143"/>
      <c r="AJ381" s="143"/>
      <c r="AK381" s="143"/>
      <c r="AL381" s="143"/>
      <c r="AM381" s="143"/>
      <c r="AN381" s="253" t="s">
        <v>63</v>
      </c>
      <c r="AO381" s="233"/>
      <c r="AP381" s="254" t="s">
        <v>64</v>
      </c>
      <c r="AQ381" s="255"/>
      <c r="AR381" s="256">
        <f>+AR372+AR377+AR380</f>
        <v>904927.59</v>
      </c>
      <c r="AS381" s="194"/>
      <c r="AT381" s="194"/>
      <c r="AU381" s="135"/>
      <c r="AV381" s="143"/>
      <c r="BD381" s="152"/>
      <c r="BE381" s="148"/>
      <c r="BF381" s="206"/>
      <c r="BG381" s="194"/>
      <c r="BH381" s="144"/>
      <c r="BI381" s="194"/>
      <c r="BJ381" s="135"/>
      <c r="BK381" s="136"/>
      <c r="BL381" s="149"/>
      <c r="BM381" s="136"/>
      <c r="BN381" s="136"/>
      <c r="BO381" s="136"/>
      <c r="BP381" s="176"/>
      <c r="BQ381" s="147"/>
      <c r="BR381" s="176"/>
      <c r="BS381" s="176"/>
      <c r="BT381" s="176"/>
      <c r="BU381" s="176"/>
      <c r="BV381" s="176"/>
      <c r="BW381" s="176"/>
      <c r="BX381" s="176"/>
      <c r="BY381" s="176"/>
      <c r="BZ381" s="176"/>
    </row>
    <row r="382" spans="32:87" ht="18" customHeight="1" x14ac:dyDescent="0.2">
      <c r="AF382" s="143"/>
      <c r="AG382" s="143"/>
      <c r="AH382" s="143"/>
      <c r="AI382" s="143"/>
      <c r="AJ382" s="143"/>
      <c r="AK382" s="143"/>
      <c r="AL382" s="143"/>
      <c r="AM382" s="143"/>
      <c r="AN382" s="152"/>
      <c r="AO382" s="153"/>
      <c r="AP382" s="145"/>
      <c r="AQ382" s="145"/>
      <c r="AR382" s="145"/>
      <c r="AS382" s="154"/>
      <c r="AT382" s="154"/>
      <c r="AU382" s="135"/>
      <c r="AV382" s="143"/>
      <c r="BD382" s="152"/>
      <c r="BE382" s="148"/>
      <c r="BF382" s="206"/>
      <c r="BG382" s="194"/>
      <c r="BH382" s="144"/>
      <c r="BI382" s="194"/>
      <c r="BJ382" s="135"/>
      <c r="BK382" s="136"/>
      <c r="BL382" s="149"/>
      <c r="BM382" s="136"/>
      <c r="BN382" s="136"/>
      <c r="BO382" s="136"/>
      <c r="BP382" s="176"/>
      <c r="BQ382" s="147"/>
      <c r="BR382" s="176"/>
      <c r="BS382" s="176"/>
      <c r="BT382" s="176"/>
      <c r="BU382" s="176"/>
      <c r="BV382" s="176"/>
      <c r="BW382" s="176"/>
      <c r="BX382" s="176"/>
      <c r="BY382" s="176"/>
      <c r="BZ382" s="176"/>
    </row>
    <row r="383" spans="32:87" ht="18" customHeight="1" x14ac:dyDescent="0.2">
      <c r="AF383" s="143"/>
      <c r="AG383" s="143"/>
      <c r="AH383" s="143"/>
      <c r="AI383" s="143"/>
      <c r="AJ383" s="143"/>
      <c r="AK383" s="143"/>
      <c r="AL383" s="143"/>
      <c r="AM383" s="143"/>
      <c r="AN383" s="155" t="s">
        <v>399</v>
      </c>
      <c r="AO383" s="169"/>
      <c r="AP383" s="172"/>
      <c r="AQ383" s="172"/>
      <c r="AR383" s="173"/>
      <c r="AS383" s="154"/>
      <c r="AT383" s="154"/>
      <c r="AU383" s="135"/>
      <c r="AV383" s="143"/>
      <c r="BD383" s="152"/>
      <c r="BE383" s="148"/>
      <c r="BF383" s="206"/>
      <c r="BG383" s="194"/>
      <c r="BH383" s="144"/>
      <c r="BI383" s="194"/>
      <c r="BJ383" s="135"/>
      <c r="BK383" s="136"/>
      <c r="BL383" s="149"/>
      <c r="BM383" s="136"/>
      <c r="BN383" s="136"/>
      <c r="BO383" s="136"/>
      <c r="BP383" s="176"/>
      <c r="BQ383" s="147"/>
      <c r="BR383" s="176"/>
      <c r="BS383" s="176"/>
      <c r="BT383" s="176"/>
      <c r="BU383" s="176"/>
      <c r="BV383" s="176"/>
      <c r="BW383" s="176"/>
      <c r="BX383" s="176"/>
      <c r="BY383" s="176"/>
      <c r="BZ383" s="176"/>
    </row>
    <row r="384" spans="32:87" ht="18" customHeight="1" x14ac:dyDescent="0.2">
      <c r="AF384" s="143"/>
      <c r="AG384" s="143"/>
      <c r="AH384" s="143"/>
      <c r="AI384" s="143"/>
      <c r="AJ384" s="143"/>
      <c r="AK384" s="143"/>
      <c r="AL384" s="143"/>
      <c r="AM384" s="143"/>
      <c r="AN384" s="177" t="s">
        <v>409</v>
      </c>
      <c r="AO384" s="150"/>
      <c r="AP384" s="178"/>
      <c r="AQ384" s="149"/>
      <c r="AR384" s="179" t="str">
        <f>$G$82</f>
        <v>Un</v>
      </c>
      <c r="AS384" s="180">
        <f>$H$82</f>
        <v>1</v>
      </c>
      <c r="AT384" s="180"/>
      <c r="AU384" s="135"/>
      <c r="AV384" s="143"/>
      <c r="BD384" s="152"/>
      <c r="BE384" s="148"/>
      <c r="BF384" s="206"/>
      <c r="BG384" s="194"/>
      <c r="BH384" s="144"/>
      <c r="BI384" s="194"/>
      <c r="BJ384" s="135"/>
      <c r="BK384" s="136"/>
      <c r="BL384" s="149"/>
      <c r="BM384" s="136"/>
      <c r="BN384" s="136"/>
      <c r="BO384" s="136"/>
      <c r="BP384" s="176"/>
      <c r="BQ384" s="147"/>
      <c r="BR384" s="176"/>
      <c r="BS384" s="176"/>
      <c r="BT384" s="176"/>
      <c r="BU384" s="176"/>
      <c r="BV384" s="176"/>
      <c r="BW384" s="176"/>
      <c r="BX384" s="176"/>
      <c r="BY384" s="176"/>
      <c r="BZ384" s="176"/>
    </row>
    <row r="385" spans="32:78" ht="18" customHeight="1" thickBot="1" x14ac:dyDescent="0.25">
      <c r="AF385" s="143"/>
      <c r="AG385" s="143"/>
      <c r="AH385" s="143"/>
      <c r="AI385" s="143"/>
      <c r="AJ385" s="143"/>
      <c r="AK385" s="143"/>
      <c r="AL385" s="143"/>
      <c r="AM385" s="143"/>
      <c r="AN385" s="183"/>
      <c r="AO385" s="184"/>
      <c r="AP385" s="185"/>
      <c r="AQ385" s="185"/>
      <c r="AR385" s="186"/>
      <c r="AU385" s="135"/>
      <c r="AV385" s="143"/>
      <c r="BD385" s="152"/>
      <c r="BE385" s="148"/>
      <c r="BF385" s="206"/>
      <c r="BG385" s="194"/>
      <c r="BH385" s="144"/>
      <c r="BI385" s="194"/>
      <c r="BJ385" s="135"/>
      <c r="BK385" s="136"/>
      <c r="BL385" s="149"/>
      <c r="BM385" s="136"/>
      <c r="BN385" s="136"/>
      <c r="BO385" s="136"/>
      <c r="BP385" s="176"/>
      <c r="BQ385" s="147"/>
      <c r="BR385" s="176"/>
      <c r="BS385" s="176"/>
      <c r="BT385" s="176"/>
      <c r="BU385" s="176"/>
      <c r="BV385" s="176"/>
      <c r="BW385" s="176"/>
      <c r="BX385" s="176"/>
      <c r="BY385" s="176"/>
      <c r="BZ385" s="176"/>
    </row>
    <row r="386" spans="32:78" ht="18" customHeight="1" thickTop="1" x14ac:dyDescent="0.2">
      <c r="AF386" s="143"/>
      <c r="AG386" s="143"/>
      <c r="AH386" s="143"/>
      <c r="AI386" s="143"/>
      <c r="AJ386" s="143"/>
      <c r="AK386" s="143"/>
      <c r="AL386" s="143"/>
      <c r="AM386" s="143"/>
      <c r="AN386" s="191" t="s">
        <v>31</v>
      </c>
      <c r="AO386" s="192" t="s">
        <v>32</v>
      </c>
      <c r="AP386" s="192" t="s">
        <v>33</v>
      </c>
      <c r="AQ386" s="192" t="s">
        <v>1</v>
      </c>
      <c r="AR386" s="192" t="s">
        <v>34</v>
      </c>
      <c r="AS386" s="193" t="s">
        <v>76</v>
      </c>
      <c r="AT386" s="153"/>
      <c r="AU386" s="135"/>
      <c r="AV386" s="143"/>
      <c r="BD386" s="152"/>
      <c r="BE386" s="148"/>
      <c r="BF386" s="206"/>
      <c r="BG386" s="194"/>
      <c r="BH386" s="144"/>
      <c r="BI386" s="194"/>
      <c r="BJ386" s="135"/>
      <c r="BK386" s="136"/>
      <c r="BL386" s="149"/>
      <c r="BM386" s="136"/>
      <c r="BN386" s="136"/>
      <c r="BO386" s="136"/>
      <c r="BP386" s="176"/>
      <c r="BQ386" s="147"/>
      <c r="BR386" s="176"/>
      <c r="BS386" s="176"/>
      <c r="BT386" s="176"/>
      <c r="BU386" s="176"/>
      <c r="BV386" s="176"/>
      <c r="BW386" s="176"/>
      <c r="BX386" s="176"/>
      <c r="BY386" s="176"/>
      <c r="BZ386" s="176"/>
    </row>
    <row r="387" spans="32:78" ht="18" customHeight="1" x14ac:dyDescent="0.2">
      <c r="AF387" s="143"/>
      <c r="AG387" s="143"/>
      <c r="AH387" s="143"/>
      <c r="AI387" s="143"/>
      <c r="AJ387" s="143"/>
      <c r="AK387" s="143"/>
      <c r="AL387" s="143"/>
      <c r="AM387" s="143"/>
      <c r="AN387" s="197" t="s">
        <v>37</v>
      </c>
      <c r="AO387" s="198"/>
      <c r="AP387" s="199"/>
      <c r="AQ387" s="199"/>
      <c r="AR387" s="200"/>
      <c r="AS387" s="201"/>
      <c r="AT387" s="194"/>
      <c r="AU387" s="135"/>
      <c r="AV387" s="143"/>
      <c r="BD387" s="152"/>
      <c r="BE387" s="148"/>
      <c r="BF387" s="206"/>
      <c r="BG387" s="194"/>
      <c r="BH387" s="144"/>
      <c r="BI387" s="194"/>
      <c r="BJ387" s="135"/>
      <c r="BK387" s="136"/>
      <c r="BL387" s="149"/>
      <c r="BM387" s="136"/>
      <c r="BN387" s="136"/>
      <c r="BO387" s="136"/>
      <c r="BP387" s="176"/>
      <c r="BQ387" s="147"/>
      <c r="BR387" s="176"/>
      <c r="BS387" s="176"/>
      <c r="BT387" s="176"/>
      <c r="BU387" s="176"/>
      <c r="BV387" s="176"/>
      <c r="BW387" s="176"/>
      <c r="BX387" s="176"/>
      <c r="BY387" s="176"/>
      <c r="BZ387" s="176"/>
    </row>
    <row r="388" spans="32:78" ht="18" customHeight="1" x14ac:dyDescent="0.2">
      <c r="AF388" s="143"/>
      <c r="AG388" s="143"/>
      <c r="AH388" s="143"/>
      <c r="AI388" s="143"/>
      <c r="AJ388" s="143"/>
      <c r="AK388" s="143"/>
      <c r="AL388" s="143"/>
      <c r="AM388" s="143"/>
      <c r="AN388" s="216" t="s">
        <v>409</v>
      </c>
      <c r="AO388" s="213" t="s">
        <v>28</v>
      </c>
      <c r="AP388" s="214">
        <v>1</v>
      </c>
      <c r="AQ388" s="214">
        <v>1392141.2085000002</v>
      </c>
      <c r="AR388" s="215">
        <f>+ROUND(AP388*AQ388,2)</f>
        <v>1392141.21</v>
      </c>
      <c r="AS388" s="201"/>
      <c r="AT388" s="194"/>
      <c r="AU388" s="135"/>
      <c r="AV388" s="143"/>
      <c r="BD388" s="152"/>
      <c r="BE388" s="148"/>
      <c r="BF388" s="206"/>
      <c r="BG388" s="194"/>
      <c r="BH388" s="144"/>
      <c r="BI388" s="194"/>
      <c r="BJ388" s="135"/>
      <c r="BK388" s="136"/>
      <c r="BL388" s="149"/>
      <c r="BM388" s="136"/>
      <c r="BN388" s="136"/>
      <c r="BO388" s="136"/>
      <c r="BP388" s="176"/>
      <c r="BQ388" s="147"/>
      <c r="BR388" s="176"/>
      <c r="BS388" s="176"/>
      <c r="BT388" s="176"/>
      <c r="BU388" s="176"/>
      <c r="BV388" s="176"/>
      <c r="BW388" s="176"/>
      <c r="BX388" s="176"/>
      <c r="BY388" s="176"/>
      <c r="BZ388" s="176"/>
    </row>
    <row r="389" spans="32:78" ht="18" customHeight="1" x14ac:dyDescent="0.2">
      <c r="AF389" s="143"/>
      <c r="AG389" s="143"/>
      <c r="AH389" s="143"/>
      <c r="AI389" s="143"/>
      <c r="AJ389" s="143"/>
      <c r="AK389" s="143"/>
      <c r="AL389" s="143"/>
      <c r="AM389" s="143"/>
      <c r="AN389" s="216" t="s">
        <v>323</v>
      </c>
      <c r="AO389" s="213" t="s">
        <v>28</v>
      </c>
      <c r="AP389" s="214">
        <v>1</v>
      </c>
      <c r="AQ389" s="214">
        <v>41764.236299999997</v>
      </c>
      <c r="AR389" s="215">
        <f>+ROUND(AP389*AQ389,2)</f>
        <v>41764.239999999998</v>
      </c>
      <c r="AS389" s="201"/>
      <c r="AT389" s="194"/>
      <c r="AU389" s="135"/>
      <c r="AV389" s="143"/>
      <c r="BD389" s="152"/>
      <c r="BE389" s="148"/>
      <c r="BF389" s="206"/>
      <c r="BG389" s="194"/>
      <c r="BH389" s="144"/>
      <c r="BI389" s="194"/>
      <c r="BJ389" s="135"/>
      <c r="BK389" s="136"/>
      <c r="BL389" s="149"/>
      <c r="BM389" s="136"/>
      <c r="BN389" s="136"/>
      <c r="BO389" s="136"/>
      <c r="BP389" s="176"/>
      <c r="BQ389" s="147"/>
      <c r="BR389" s="176"/>
      <c r="BS389" s="176"/>
      <c r="BT389" s="176"/>
      <c r="BU389" s="176"/>
      <c r="BV389" s="176"/>
      <c r="BW389" s="176"/>
      <c r="BX389" s="176"/>
      <c r="BY389" s="176"/>
      <c r="BZ389" s="176"/>
    </row>
    <row r="390" spans="32:78" ht="18" customHeight="1" x14ac:dyDescent="0.2">
      <c r="AF390" s="143"/>
      <c r="AG390" s="143"/>
      <c r="AH390" s="143"/>
      <c r="AI390" s="143"/>
      <c r="AJ390" s="143"/>
      <c r="AK390" s="143"/>
      <c r="AL390" s="143"/>
      <c r="AM390" s="143"/>
      <c r="AN390" s="224" t="s">
        <v>50</v>
      </c>
      <c r="AO390" s="225" t="s">
        <v>28</v>
      </c>
      <c r="AP390" s="226">
        <v>0.03</v>
      </c>
      <c r="AQ390" s="219">
        <v>1433905.45</v>
      </c>
      <c r="AR390" s="215">
        <f>+ROUND(AP390*AQ390,2)</f>
        <v>43017.16</v>
      </c>
      <c r="AS390" s="201"/>
      <c r="AT390" s="194"/>
      <c r="AU390" s="135"/>
      <c r="AV390" s="143"/>
      <c r="BD390" s="152"/>
      <c r="BE390" s="148"/>
      <c r="BF390" s="206"/>
      <c r="BG390" s="194"/>
      <c r="BH390" s="144"/>
      <c r="BI390" s="194"/>
      <c r="BJ390" s="135"/>
      <c r="BK390" s="136"/>
      <c r="BL390" s="149"/>
      <c r="BM390" s="136"/>
      <c r="BN390" s="136"/>
      <c r="BO390" s="136"/>
      <c r="BP390" s="176"/>
      <c r="BQ390" s="147"/>
      <c r="BR390" s="176"/>
      <c r="BS390" s="176"/>
      <c r="BT390" s="176"/>
      <c r="BU390" s="176"/>
      <c r="BV390" s="176"/>
      <c r="BW390" s="176"/>
      <c r="BX390" s="176"/>
      <c r="BY390" s="176"/>
      <c r="BZ390" s="176"/>
    </row>
    <row r="391" spans="32:78" ht="18" customHeight="1" x14ac:dyDescent="0.2">
      <c r="AF391" s="143"/>
      <c r="AG391" s="143"/>
      <c r="AH391" s="143"/>
      <c r="AI391" s="143"/>
      <c r="AJ391" s="143"/>
      <c r="AK391" s="143"/>
      <c r="AL391" s="143"/>
      <c r="AM391" s="143"/>
      <c r="AN391" s="232" t="s">
        <v>51</v>
      </c>
      <c r="AO391" s="233"/>
      <c r="AP391" s="234"/>
      <c r="AQ391" s="234"/>
      <c r="AR391" s="235">
        <f>SUM(AR388:AR390)</f>
        <v>1476922.6099999999</v>
      </c>
      <c r="AS391" s="235"/>
      <c r="AU391" s="135"/>
      <c r="AV391" s="143"/>
      <c r="BD391" s="152"/>
      <c r="BE391" s="148"/>
      <c r="BF391" s="206"/>
      <c r="BG391" s="194"/>
      <c r="BH391" s="144"/>
      <c r="BI391" s="194"/>
      <c r="BJ391" s="135"/>
      <c r="BK391" s="136"/>
      <c r="BL391" s="149"/>
      <c r="BM391" s="136"/>
      <c r="BN391" s="136"/>
      <c r="BO391" s="136"/>
      <c r="BP391" s="176"/>
      <c r="BQ391" s="147"/>
      <c r="BR391" s="176"/>
      <c r="BS391" s="176"/>
      <c r="BT391" s="176"/>
      <c r="BU391" s="176"/>
      <c r="BV391" s="176"/>
      <c r="BW391" s="176"/>
      <c r="BX391" s="176"/>
      <c r="BY391" s="176"/>
      <c r="BZ391" s="176"/>
    </row>
    <row r="392" spans="32:78" ht="18" customHeight="1" x14ac:dyDescent="0.2">
      <c r="AF392" s="143"/>
      <c r="AG392" s="143"/>
      <c r="AH392" s="143"/>
      <c r="AI392" s="143"/>
      <c r="AJ392" s="143"/>
      <c r="AK392" s="143"/>
      <c r="AL392" s="143"/>
      <c r="AM392" s="143"/>
      <c r="AN392" s="197" t="s">
        <v>53</v>
      </c>
      <c r="AO392" s="198"/>
      <c r="AP392" s="199"/>
      <c r="AQ392" s="199"/>
      <c r="AR392" s="200"/>
      <c r="AS392" s="153"/>
      <c r="AT392" s="153"/>
      <c r="AU392" s="135"/>
      <c r="AV392" s="143"/>
      <c r="BD392" s="152"/>
      <c r="BE392" s="148"/>
      <c r="BF392" s="206"/>
      <c r="BG392" s="194"/>
      <c r="BH392" s="144"/>
      <c r="BI392" s="194"/>
      <c r="BJ392" s="135"/>
      <c r="BK392" s="136"/>
      <c r="BL392" s="149"/>
      <c r="BM392" s="136"/>
      <c r="BN392" s="136"/>
      <c r="BO392" s="136"/>
      <c r="BP392" s="176"/>
      <c r="BQ392" s="369"/>
      <c r="BR392" s="176"/>
      <c r="BS392" s="176"/>
      <c r="BT392" s="176"/>
      <c r="BU392" s="176"/>
      <c r="BV392" s="176"/>
      <c r="BW392" s="176"/>
      <c r="BX392" s="176"/>
      <c r="BY392" s="176"/>
      <c r="BZ392" s="176"/>
    </row>
    <row r="393" spans="32:78" ht="18" customHeight="1" x14ac:dyDescent="0.2">
      <c r="AF393" s="143"/>
      <c r="AG393" s="143"/>
      <c r="AH393" s="143"/>
      <c r="AI393" s="143"/>
      <c r="AJ393" s="143"/>
      <c r="AK393" s="143"/>
      <c r="AL393" s="143"/>
      <c r="AM393" s="143"/>
      <c r="AN393" s="224" t="s">
        <v>54</v>
      </c>
      <c r="AO393" s="225" t="s">
        <v>55</v>
      </c>
      <c r="AP393" s="226">
        <v>8</v>
      </c>
      <c r="AQ393" s="226">
        <v>1600.8</v>
      </c>
      <c r="AR393" s="215">
        <f>+ROUND(AP393*AQ393,2)</f>
        <v>12806.4</v>
      </c>
      <c r="AS393" s="194"/>
      <c r="AT393" s="194"/>
      <c r="AU393" s="135"/>
      <c r="AV393" s="143"/>
      <c r="BD393" s="152"/>
      <c r="BE393" s="148"/>
      <c r="BF393" s="206"/>
      <c r="BG393" s="194"/>
      <c r="BH393" s="144"/>
      <c r="BI393" s="194"/>
      <c r="BJ393" s="135"/>
      <c r="BK393" s="136"/>
      <c r="BL393" s="149"/>
      <c r="BM393" s="136"/>
      <c r="BN393" s="136"/>
      <c r="BO393" s="135"/>
      <c r="BP393" s="176"/>
      <c r="BQ393" s="369"/>
      <c r="BR393" s="176"/>
      <c r="BS393" s="176"/>
      <c r="BT393" s="176"/>
      <c r="BU393" s="176"/>
      <c r="BV393" s="176"/>
      <c r="BW393" s="176"/>
      <c r="BX393" s="176"/>
      <c r="BY393" s="176"/>
      <c r="BZ393" s="176"/>
    </row>
    <row r="394" spans="32:78" ht="18" customHeight="1" x14ac:dyDescent="0.2">
      <c r="AF394" s="143"/>
      <c r="AG394" s="143"/>
      <c r="AH394" s="143"/>
      <c r="AI394" s="143"/>
      <c r="AJ394" s="143"/>
      <c r="AK394" s="143"/>
      <c r="AL394" s="143"/>
      <c r="AM394" s="143"/>
      <c r="AN394" s="224" t="s">
        <v>56</v>
      </c>
      <c r="AO394" s="225" t="s">
        <v>55</v>
      </c>
      <c r="AP394" s="226">
        <v>8</v>
      </c>
      <c r="AQ394" s="226">
        <v>1354.6999999999998</v>
      </c>
      <c r="AR394" s="215">
        <f>+ROUND(AP394*AQ394,2)</f>
        <v>10837.6</v>
      </c>
      <c r="AS394" s="194"/>
      <c r="AT394" s="194"/>
      <c r="AU394" s="135"/>
      <c r="AV394" s="143"/>
      <c r="BD394" s="152"/>
      <c r="BE394" s="148"/>
      <c r="BF394" s="206"/>
      <c r="BG394" s="194"/>
      <c r="BH394" s="144"/>
      <c r="BI394" s="194"/>
      <c r="BJ394" s="135"/>
      <c r="BK394" s="136"/>
      <c r="BL394" s="149"/>
      <c r="BM394" s="136"/>
      <c r="BN394" s="136"/>
      <c r="BO394" s="135"/>
      <c r="BP394" s="176"/>
      <c r="BQ394" s="369"/>
      <c r="BR394" s="176"/>
      <c r="BS394" s="176"/>
      <c r="BT394" s="176"/>
      <c r="BU394" s="176"/>
      <c r="BV394" s="176"/>
      <c r="BW394" s="176"/>
      <c r="BX394" s="176"/>
      <c r="BY394" s="176"/>
      <c r="BZ394" s="176"/>
    </row>
    <row r="395" spans="32:78" ht="18" customHeight="1" x14ac:dyDescent="0.2">
      <c r="AF395" s="143"/>
      <c r="AG395" s="143"/>
      <c r="AH395" s="143"/>
      <c r="AI395" s="143"/>
      <c r="AJ395" s="143"/>
      <c r="AK395" s="143"/>
      <c r="AL395" s="143"/>
      <c r="AM395" s="143"/>
      <c r="AN395" s="248"/>
      <c r="AO395" s="249"/>
      <c r="AP395" s="219"/>
      <c r="AQ395" s="219"/>
      <c r="AR395" s="215"/>
      <c r="AS395" s="194"/>
      <c r="AT395" s="194"/>
      <c r="AU395" s="135"/>
      <c r="AV395" s="143"/>
      <c r="BD395" s="152"/>
      <c r="BE395" s="148"/>
      <c r="BF395" s="206"/>
      <c r="BG395" s="194"/>
      <c r="BH395" s="144"/>
      <c r="BI395" s="194"/>
      <c r="BJ395" s="135"/>
      <c r="BK395" s="136"/>
      <c r="BL395" s="149"/>
      <c r="BM395" s="136"/>
      <c r="BN395" s="136"/>
      <c r="BO395" s="135"/>
      <c r="BP395" s="176"/>
      <c r="BQ395" s="369"/>
      <c r="BR395" s="176"/>
      <c r="BS395" s="176"/>
      <c r="BT395" s="176"/>
      <c r="BU395" s="176"/>
      <c r="BV395" s="176"/>
      <c r="BW395" s="176"/>
      <c r="BX395" s="176"/>
      <c r="BY395" s="176"/>
      <c r="BZ395" s="176"/>
    </row>
    <row r="396" spans="32:78" ht="18" customHeight="1" x14ac:dyDescent="0.2">
      <c r="AF396" s="143"/>
      <c r="AG396" s="143"/>
      <c r="AH396" s="143"/>
      <c r="AI396" s="143"/>
      <c r="AJ396" s="143"/>
      <c r="AK396" s="143"/>
      <c r="AL396" s="143"/>
      <c r="AM396" s="143"/>
      <c r="AN396" s="232" t="s">
        <v>57</v>
      </c>
      <c r="AO396" s="233"/>
      <c r="AP396" s="234"/>
      <c r="AQ396" s="234"/>
      <c r="AR396" s="235">
        <f>SUM(AR393:AR395)</f>
        <v>23644</v>
      </c>
      <c r="AS396" s="138">
        <f>+AR396/AR391</f>
        <v>1.6008963394500409E-2</v>
      </c>
      <c r="AU396" s="135"/>
      <c r="AV396" s="143"/>
      <c r="BD396" s="152"/>
      <c r="BE396" s="148"/>
      <c r="BF396" s="206"/>
      <c r="BG396" s="194"/>
      <c r="BH396" s="144"/>
      <c r="BI396" s="194"/>
      <c r="BJ396" s="135"/>
      <c r="BK396" s="136"/>
      <c r="BL396" s="149"/>
      <c r="BM396" s="136"/>
      <c r="BN396" s="136"/>
      <c r="BO396" s="135"/>
      <c r="BP396" s="176"/>
      <c r="BQ396" s="147"/>
      <c r="BR396" s="176"/>
      <c r="BS396" s="176"/>
      <c r="BT396" s="176"/>
      <c r="BU396" s="176"/>
      <c r="BV396" s="176"/>
      <c r="BW396" s="176"/>
      <c r="BX396" s="176"/>
      <c r="BY396" s="176"/>
      <c r="BZ396" s="176"/>
    </row>
    <row r="397" spans="32:78" ht="18" customHeight="1" x14ac:dyDescent="0.2">
      <c r="AF397" s="143"/>
      <c r="AG397" s="143"/>
      <c r="AH397" s="143"/>
      <c r="AI397" s="143"/>
      <c r="AJ397" s="143"/>
      <c r="AK397" s="143"/>
      <c r="AL397" s="143"/>
      <c r="AM397" s="143"/>
      <c r="AN397" s="197" t="s">
        <v>58</v>
      </c>
      <c r="AO397" s="198"/>
      <c r="AP397" s="199"/>
      <c r="AQ397" s="199"/>
      <c r="AR397" s="200"/>
      <c r="AS397" s="153"/>
      <c r="AT397" s="153"/>
      <c r="AU397" s="135"/>
      <c r="AV397" s="143"/>
      <c r="BD397" s="152"/>
      <c r="BE397" s="148"/>
      <c r="BF397" s="206"/>
      <c r="BG397" s="194"/>
      <c r="BH397" s="144"/>
      <c r="BI397" s="194"/>
      <c r="BJ397" s="135"/>
      <c r="BK397" s="136"/>
      <c r="BL397" s="149"/>
      <c r="BM397" s="136"/>
      <c r="BN397" s="136"/>
      <c r="BO397" s="135"/>
      <c r="BP397" s="176"/>
      <c r="BQ397" s="147"/>
      <c r="BR397" s="176"/>
      <c r="BS397" s="176"/>
      <c r="BT397" s="176"/>
      <c r="BU397" s="176"/>
      <c r="BV397" s="176"/>
      <c r="BW397" s="176"/>
      <c r="BX397" s="176"/>
      <c r="BY397" s="176"/>
      <c r="BZ397" s="176"/>
    </row>
    <row r="398" spans="32:78" ht="18" customHeight="1" x14ac:dyDescent="0.2">
      <c r="AF398" s="143"/>
      <c r="AG398" s="361"/>
      <c r="AH398" s="361"/>
      <c r="AI398" s="361"/>
      <c r="AJ398" s="361"/>
      <c r="AK398" s="361"/>
      <c r="AL398" s="361"/>
      <c r="AM398" s="361"/>
      <c r="AN398" s="252" t="s">
        <v>59</v>
      </c>
      <c r="AO398" s="213" t="s">
        <v>60</v>
      </c>
      <c r="AP398" s="226">
        <v>360</v>
      </c>
      <c r="AQ398" s="226">
        <v>1.9600688000000004</v>
      </c>
      <c r="AR398" s="215">
        <f>+ROUND(AP398*AQ398,2)</f>
        <v>705.62</v>
      </c>
      <c r="AS398" s="194"/>
      <c r="AT398" s="194"/>
      <c r="AU398" s="135"/>
      <c r="AV398" s="143"/>
      <c r="BD398" s="152"/>
      <c r="BE398" s="148"/>
      <c r="BF398" s="206"/>
      <c r="BG398" s="194"/>
      <c r="BH398" s="144"/>
      <c r="BI398" s="194"/>
      <c r="BJ398" s="135"/>
      <c r="BK398" s="136"/>
      <c r="BL398" s="149"/>
      <c r="BM398" s="136"/>
      <c r="BN398" s="136"/>
      <c r="BO398" s="135"/>
      <c r="BP398" s="176"/>
      <c r="BQ398" s="147"/>
      <c r="BR398" s="176"/>
      <c r="BS398" s="176"/>
      <c r="BT398" s="176"/>
      <c r="BU398" s="176"/>
      <c r="BV398" s="176"/>
      <c r="BW398" s="176"/>
      <c r="BX398" s="176"/>
      <c r="BY398" s="176"/>
      <c r="BZ398" s="176"/>
    </row>
    <row r="399" spans="32:78" ht="18" customHeight="1" x14ac:dyDescent="0.2">
      <c r="AF399" s="361"/>
      <c r="AG399" s="241"/>
      <c r="AH399" s="241"/>
      <c r="AI399" s="241"/>
      <c r="AJ399" s="241"/>
      <c r="AK399" s="241"/>
      <c r="AL399" s="241"/>
      <c r="AM399" s="241"/>
      <c r="AN399" s="202" t="s">
        <v>62</v>
      </c>
      <c r="AO399" s="250"/>
      <c r="AP399" s="168"/>
      <c r="AQ399" s="168"/>
      <c r="AR399" s="251">
        <f>SUM(AR398:AR398)</f>
        <v>705.62</v>
      </c>
      <c r="AS399" s="194"/>
      <c r="AT399" s="194"/>
      <c r="AU399" s="135"/>
      <c r="AV399" s="143"/>
      <c r="BD399" s="152"/>
      <c r="BE399" s="148"/>
      <c r="BF399" s="206"/>
      <c r="BG399" s="194"/>
      <c r="BH399" s="144"/>
      <c r="BI399" s="194"/>
      <c r="BJ399" s="135"/>
      <c r="BK399" s="136"/>
      <c r="BL399" s="149"/>
      <c r="BM399" s="136"/>
      <c r="BN399" s="136"/>
      <c r="BO399" s="135"/>
      <c r="BP399" s="135"/>
      <c r="BQ399" s="147"/>
      <c r="BR399" s="176"/>
      <c r="BS399" s="176"/>
      <c r="BT399" s="176"/>
      <c r="BU399" s="176"/>
      <c r="BV399" s="176"/>
      <c r="BW399" s="176"/>
      <c r="BX399" s="176"/>
      <c r="BY399" s="176"/>
      <c r="BZ399" s="176"/>
    </row>
    <row r="400" spans="32:78" ht="18" customHeight="1" x14ac:dyDescent="0.2">
      <c r="AF400" s="241"/>
      <c r="AG400" s="143"/>
      <c r="AH400" s="143"/>
      <c r="AI400" s="143"/>
      <c r="AJ400" s="143"/>
      <c r="AK400" s="143"/>
      <c r="AL400" s="143"/>
      <c r="AM400" s="143"/>
      <c r="AN400" s="253" t="s">
        <v>63</v>
      </c>
      <c r="AO400" s="233"/>
      <c r="AP400" s="254" t="s">
        <v>64</v>
      </c>
      <c r="AQ400" s="255"/>
      <c r="AR400" s="256">
        <f>+AR391+AR396+AR399</f>
        <v>1501272.23</v>
      </c>
      <c r="AS400" s="194"/>
      <c r="AT400" s="194"/>
      <c r="AU400" s="135"/>
      <c r="AV400" s="143"/>
      <c r="BD400" s="152"/>
      <c r="BE400" s="148"/>
      <c r="BF400" s="206"/>
      <c r="BG400" s="194"/>
      <c r="BH400" s="144"/>
      <c r="BI400" s="194"/>
      <c r="BJ400" s="135"/>
      <c r="BK400" s="136"/>
      <c r="BL400" s="149"/>
      <c r="BM400" s="136"/>
      <c r="BN400" s="136"/>
      <c r="BO400" s="135"/>
      <c r="BP400" s="135"/>
      <c r="BQ400" s="147"/>
      <c r="BR400" s="176"/>
      <c r="BS400" s="176"/>
      <c r="BT400" s="176"/>
      <c r="BU400" s="176"/>
      <c r="BV400" s="176"/>
      <c r="BW400" s="176"/>
      <c r="BX400" s="176"/>
      <c r="BY400" s="176"/>
      <c r="BZ400" s="176"/>
    </row>
    <row r="401" spans="3:78" ht="18" customHeight="1" x14ac:dyDescent="0.2">
      <c r="AF401" s="143"/>
      <c r="AG401" s="143"/>
      <c r="AH401" s="143"/>
      <c r="AI401" s="143"/>
      <c r="AJ401" s="143"/>
      <c r="AK401" s="143"/>
      <c r="AL401" s="143"/>
      <c r="AM401" s="143"/>
      <c r="AN401" s="152"/>
      <c r="AO401" s="153"/>
      <c r="AP401" s="145"/>
      <c r="AQ401" s="145"/>
      <c r="AR401" s="145"/>
      <c r="AS401" s="154"/>
      <c r="AT401" s="154"/>
      <c r="AU401" s="135"/>
      <c r="AV401" s="143"/>
      <c r="BD401" s="152"/>
      <c r="BE401" s="148"/>
      <c r="BF401" s="206"/>
      <c r="BG401" s="194"/>
      <c r="BH401" s="144"/>
      <c r="BI401" s="194"/>
      <c r="BJ401" s="135"/>
      <c r="BK401" s="136"/>
      <c r="BL401" s="149"/>
      <c r="BM401" s="136"/>
      <c r="BN401" s="136"/>
      <c r="BO401" s="135"/>
      <c r="BP401" s="135"/>
      <c r="BQ401" s="147"/>
      <c r="BR401" s="176"/>
      <c r="BS401" s="176"/>
      <c r="BT401" s="176"/>
      <c r="BU401" s="176"/>
      <c r="BV401" s="176"/>
      <c r="BW401" s="176"/>
      <c r="BX401" s="176"/>
      <c r="BY401" s="176"/>
      <c r="BZ401" s="176"/>
    </row>
    <row r="402" spans="3:78" ht="18" customHeight="1" x14ac:dyDescent="0.2">
      <c r="AF402" s="143"/>
      <c r="AG402" s="143"/>
      <c r="AH402" s="143"/>
      <c r="AI402" s="143"/>
      <c r="AJ402" s="143"/>
      <c r="AK402" s="143"/>
      <c r="AL402" s="143"/>
      <c r="AM402" s="143"/>
      <c r="AN402" s="155" t="s">
        <v>399</v>
      </c>
      <c r="AO402" s="169"/>
      <c r="AP402" s="172"/>
      <c r="AQ402" s="172"/>
      <c r="AR402" s="173"/>
      <c r="AS402" s="154"/>
      <c r="AT402" s="154"/>
      <c r="AU402" s="135"/>
      <c r="AV402" s="143"/>
      <c r="BD402" s="152"/>
      <c r="BE402" s="148"/>
      <c r="BF402" s="206"/>
      <c r="BG402" s="194"/>
      <c r="BH402" s="144"/>
      <c r="BI402" s="194"/>
      <c r="BJ402" s="135"/>
      <c r="BK402" s="136"/>
      <c r="BL402" s="149"/>
      <c r="BM402" s="136"/>
      <c r="BN402" s="136"/>
      <c r="BO402" s="135"/>
      <c r="BP402" s="135"/>
      <c r="BQ402" s="147"/>
      <c r="BR402" s="176"/>
      <c r="BS402" s="176"/>
      <c r="BT402" s="176"/>
      <c r="BU402" s="176"/>
      <c r="BV402" s="176"/>
      <c r="BW402" s="176"/>
      <c r="BX402" s="176"/>
      <c r="BY402" s="176"/>
      <c r="BZ402" s="176"/>
    </row>
    <row r="403" spans="3:78" ht="18" customHeight="1" x14ac:dyDescent="0.2">
      <c r="AF403" s="143"/>
      <c r="AG403" s="143"/>
      <c r="AH403" s="143"/>
      <c r="AI403" s="143"/>
      <c r="AJ403" s="143"/>
      <c r="AK403" s="143"/>
      <c r="AL403" s="143"/>
      <c r="AM403" s="143"/>
      <c r="AN403" s="177" t="s">
        <v>410</v>
      </c>
      <c r="AO403" s="150"/>
      <c r="AP403" s="178"/>
      <c r="AQ403" s="149"/>
      <c r="AR403" s="179" t="str">
        <f>$G$83</f>
        <v>Un</v>
      </c>
      <c r="AS403" s="180">
        <f>$H$83</f>
        <v>1</v>
      </c>
      <c r="AT403" s="180"/>
      <c r="AU403" s="135"/>
      <c r="AV403" s="143"/>
      <c r="BD403" s="152"/>
      <c r="BE403" s="148"/>
      <c r="BF403" s="206"/>
      <c r="BG403" s="194"/>
      <c r="BH403" s="144"/>
      <c r="BI403" s="194"/>
      <c r="BJ403" s="135"/>
      <c r="BK403" s="136"/>
      <c r="BL403" s="149"/>
      <c r="BM403" s="136"/>
      <c r="BN403" s="136"/>
      <c r="BO403" s="136"/>
      <c r="BP403" s="135"/>
      <c r="BQ403" s="147"/>
      <c r="BR403" s="176"/>
      <c r="BS403" s="176"/>
      <c r="BT403" s="176"/>
      <c r="BU403" s="176"/>
      <c r="BV403" s="176"/>
      <c r="BW403" s="176"/>
      <c r="BX403" s="176"/>
      <c r="BY403" s="176"/>
      <c r="BZ403" s="176"/>
    </row>
    <row r="404" spans="3:78" ht="18" customHeight="1" thickBot="1" x14ac:dyDescent="0.25">
      <c r="AF404" s="143"/>
      <c r="AG404" s="143"/>
      <c r="AH404" s="143"/>
      <c r="AI404" s="143"/>
      <c r="AJ404" s="143"/>
      <c r="AK404" s="143"/>
      <c r="AL404" s="143"/>
      <c r="AM404" s="143"/>
      <c r="AN404" s="183"/>
      <c r="AO404" s="184"/>
      <c r="AP404" s="185"/>
      <c r="AQ404" s="185"/>
      <c r="AR404" s="186"/>
      <c r="AU404" s="135"/>
      <c r="AV404" s="143"/>
      <c r="BD404" s="152"/>
      <c r="BE404" s="148"/>
      <c r="BF404" s="206"/>
      <c r="BG404" s="194"/>
      <c r="BH404" s="144"/>
      <c r="BI404" s="194"/>
      <c r="BJ404" s="135"/>
      <c r="BK404" s="136"/>
      <c r="BL404" s="149"/>
      <c r="BM404" s="136"/>
      <c r="BN404" s="136"/>
      <c r="BO404" s="136"/>
      <c r="BP404" s="135"/>
      <c r="BQ404" s="147"/>
      <c r="BR404" s="176"/>
      <c r="BS404" s="176"/>
      <c r="BT404" s="176"/>
      <c r="BU404" s="176"/>
      <c r="BV404" s="176"/>
      <c r="BW404" s="176"/>
      <c r="BX404" s="176"/>
      <c r="BY404" s="176"/>
      <c r="BZ404" s="176"/>
    </row>
    <row r="405" spans="3:78" ht="18" customHeight="1" thickTop="1" x14ac:dyDescent="0.2">
      <c r="AF405" s="143"/>
      <c r="AG405" s="143"/>
      <c r="AH405" s="143"/>
      <c r="AI405" s="143"/>
      <c r="AJ405" s="143"/>
      <c r="AK405" s="143"/>
      <c r="AL405" s="143"/>
      <c r="AM405" s="143"/>
      <c r="AN405" s="191" t="s">
        <v>31</v>
      </c>
      <c r="AO405" s="192" t="s">
        <v>32</v>
      </c>
      <c r="AP405" s="192" t="s">
        <v>33</v>
      </c>
      <c r="AQ405" s="192" t="s">
        <v>1</v>
      </c>
      <c r="AR405" s="192" t="s">
        <v>34</v>
      </c>
      <c r="AS405" s="193" t="s">
        <v>76</v>
      </c>
      <c r="AT405" s="153"/>
      <c r="AU405" s="135"/>
      <c r="AV405" s="143"/>
      <c r="BD405" s="152"/>
      <c r="BE405" s="148"/>
      <c r="BF405" s="206"/>
      <c r="BG405" s="194"/>
      <c r="BH405" s="144"/>
      <c r="BI405" s="194"/>
      <c r="BJ405" s="135"/>
      <c r="BK405" s="136"/>
      <c r="BL405" s="149"/>
      <c r="BM405" s="136"/>
      <c r="BN405" s="136"/>
      <c r="BO405" s="136"/>
      <c r="BP405" s="135"/>
      <c r="BQ405" s="147"/>
      <c r="BR405" s="176"/>
      <c r="BS405" s="176"/>
      <c r="BT405" s="176"/>
      <c r="BU405" s="176"/>
      <c r="BV405" s="176"/>
      <c r="BW405" s="176"/>
      <c r="BX405" s="176"/>
      <c r="BY405" s="176"/>
      <c r="BZ405" s="176"/>
    </row>
    <row r="406" spans="3:78" ht="18" customHeight="1" x14ac:dyDescent="0.2">
      <c r="AF406" s="143"/>
      <c r="AG406" s="143"/>
      <c r="AH406" s="143"/>
      <c r="AI406" s="143"/>
      <c r="AJ406" s="143"/>
      <c r="AK406" s="143"/>
      <c r="AL406" s="143"/>
      <c r="AM406" s="143"/>
      <c r="AN406" s="197" t="s">
        <v>37</v>
      </c>
      <c r="AO406" s="198"/>
      <c r="AP406" s="199"/>
      <c r="AQ406" s="199"/>
      <c r="AR406" s="200"/>
      <c r="AS406" s="201"/>
      <c r="AT406" s="194"/>
      <c r="AU406" s="135"/>
      <c r="AV406" s="143"/>
      <c r="BD406" s="152"/>
      <c r="BE406" s="148"/>
      <c r="BF406" s="206"/>
      <c r="BG406" s="194"/>
      <c r="BH406" s="144"/>
      <c r="BI406" s="194"/>
      <c r="BJ406" s="135"/>
      <c r="BK406" s="136"/>
      <c r="BL406" s="149"/>
      <c r="BM406" s="136"/>
      <c r="BN406" s="136"/>
      <c r="BO406" s="136"/>
      <c r="BP406" s="135"/>
      <c r="BQ406" s="147"/>
      <c r="BR406" s="176"/>
      <c r="BS406" s="176"/>
      <c r="BT406" s="176"/>
      <c r="BU406" s="176"/>
      <c r="BV406" s="176"/>
      <c r="BW406" s="176"/>
      <c r="BX406" s="176"/>
      <c r="BY406" s="176"/>
      <c r="BZ406" s="176"/>
    </row>
    <row r="407" spans="3:78" ht="18" customHeight="1" x14ac:dyDescent="0.2">
      <c r="AF407" s="143"/>
      <c r="AG407" s="143"/>
      <c r="AH407" s="143"/>
      <c r="AI407" s="143"/>
      <c r="AJ407" s="143"/>
      <c r="AK407" s="143"/>
      <c r="AL407" s="143"/>
      <c r="AM407" s="143"/>
      <c r="AN407" s="216" t="s">
        <v>410</v>
      </c>
      <c r="AO407" s="213" t="s">
        <v>28</v>
      </c>
      <c r="AP407" s="214">
        <v>1</v>
      </c>
      <c r="AQ407" s="214">
        <v>483520.37400000007</v>
      </c>
      <c r="AR407" s="215">
        <f>+ROUND(AP407*AQ407,2)</f>
        <v>483520.37</v>
      </c>
      <c r="AS407" s="201"/>
      <c r="AT407" s="194"/>
      <c r="AU407" s="135"/>
      <c r="AV407" s="143"/>
      <c r="BD407" s="152"/>
      <c r="BE407" s="148"/>
      <c r="BF407" s="206"/>
      <c r="BG407" s="194"/>
      <c r="BH407" s="144"/>
      <c r="BI407" s="194"/>
      <c r="BJ407" s="135"/>
      <c r="BK407" s="136"/>
      <c r="BL407" s="149"/>
      <c r="BO407" s="135"/>
      <c r="BP407" s="135"/>
      <c r="BQ407" s="147"/>
      <c r="BR407" s="176"/>
      <c r="BS407" s="176"/>
      <c r="BT407" s="176"/>
      <c r="BU407" s="176"/>
      <c r="BV407" s="176"/>
      <c r="BW407" s="176"/>
      <c r="BX407" s="176"/>
      <c r="BY407" s="176"/>
      <c r="BZ407" s="176"/>
    </row>
    <row r="408" spans="3:78" ht="18" customHeight="1" x14ac:dyDescent="0.2">
      <c r="AF408" s="143"/>
      <c r="AG408" s="143"/>
      <c r="AH408" s="143"/>
      <c r="AI408" s="143"/>
      <c r="AJ408" s="143"/>
      <c r="AK408" s="143"/>
      <c r="AL408" s="143"/>
      <c r="AM408" s="143"/>
      <c r="AN408" s="216" t="s">
        <v>323</v>
      </c>
      <c r="AO408" s="213" t="s">
        <v>28</v>
      </c>
      <c r="AP408" s="214">
        <v>1</v>
      </c>
      <c r="AQ408" s="214">
        <v>14505.6111</v>
      </c>
      <c r="AR408" s="215">
        <f>+ROUND(AP408*AQ408,2)</f>
        <v>14505.61</v>
      </c>
      <c r="AS408" s="201"/>
      <c r="AT408" s="194"/>
      <c r="AU408" s="135"/>
      <c r="AV408" s="143"/>
      <c r="BD408" s="152"/>
      <c r="BE408" s="148"/>
      <c r="BF408" s="206"/>
      <c r="BG408" s="194"/>
      <c r="BH408" s="144"/>
      <c r="BI408" s="194"/>
      <c r="BJ408" s="135"/>
      <c r="BK408" s="136"/>
      <c r="BL408" s="149"/>
      <c r="BO408" s="135"/>
      <c r="BP408" s="135"/>
      <c r="BQ408" s="147"/>
      <c r="BR408" s="176"/>
      <c r="BS408" s="176"/>
      <c r="BT408" s="176"/>
      <c r="BU408" s="176"/>
      <c r="BV408" s="176"/>
      <c r="BW408" s="176"/>
      <c r="BX408" s="176"/>
      <c r="BY408" s="176"/>
      <c r="BZ408" s="176"/>
    </row>
    <row r="409" spans="3:78" ht="18" customHeight="1" x14ac:dyDescent="0.2">
      <c r="AF409" s="143"/>
      <c r="AG409" s="143"/>
      <c r="AH409" s="143"/>
      <c r="AI409" s="143"/>
      <c r="AJ409" s="143"/>
      <c r="AK409" s="143"/>
      <c r="AL409" s="143"/>
      <c r="AM409" s="143"/>
      <c r="AN409" s="224" t="s">
        <v>50</v>
      </c>
      <c r="AO409" s="225" t="s">
        <v>28</v>
      </c>
      <c r="AP409" s="226">
        <v>0.03</v>
      </c>
      <c r="AQ409" s="219">
        <v>498025.98</v>
      </c>
      <c r="AR409" s="215">
        <f>+ROUND(AP409*AQ409,2)</f>
        <v>14940.78</v>
      </c>
      <c r="AS409" s="201"/>
      <c r="AT409" s="194"/>
      <c r="AU409" s="135"/>
      <c r="AV409" s="143"/>
      <c r="BD409" s="152"/>
      <c r="BE409" s="148"/>
      <c r="BF409" s="206"/>
      <c r="BG409" s="194"/>
      <c r="BH409" s="144"/>
      <c r="BI409" s="194"/>
      <c r="BJ409" s="135"/>
      <c r="BK409" s="136"/>
      <c r="BL409" s="149"/>
      <c r="BO409" s="135"/>
      <c r="BP409" s="135"/>
      <c r="BQ409" s="147"/>
      <c r="BR409" s="176"/>
      <c r="BS409" s="176"/>
      <c r="BT409" s="176"/>
      <c r="BU409" s="176"/>
      <c r="BV409" s="176"/>
      <c r="BW409" s="176"/>
      <c r="BX409" s="176"/>
      <c r="BY409" s="176"/>
      <c r="BZ409" s="176"/>
    </row>
    <row r="410" spans="3:78" ht="18" customHeight="1" x14ac:dyDescent="0.2">
      <c r="C410" s="370"/>
      <c r="AF410" s="143"/>
      <c r="AG410" s="143"/>
      <c r="AH410" s="143"/>
      <c r="AI410" s="143"/>
      <c r="AJ410" s="143"/>
      <c r="AK410" s="143"/>
      <c r="AL410" s="143"/>
      <c r="AM410" s="143"/>
      <c r="AN410" s="232" t="s">
        <v>51</v>
      </c>
      <c r="AO410" s="233"/>
      <c r="AP410" s="234"/>
      <c r="AQ410" s="234"/>
      <c r="AR410" s="235">
        <f>SUM(AR407:AR409)</f>
        <v>512966.76</v>
      </c>
      <c r="AS410" s="235"/>
      <c r="AU410" s="135"/>
      <c r="AV410" s="143"/>
      <c r="BD410" s="152"/>
      <c r="BE410" s="148"/>
      <c r="BF410" s="206"/>
      <c r="BG410" s="194"/>
      <c r="BH410" s="144"/>
      <c r="BI410" s="194"/>
      <c r="BJ410" s="135"/>
      <c r="BK410" s="136"/>
      <c r="BL410" s="149"/>
      <c r="BO410" s="135"/>
      <c r="BP410" s="135"/>
      <c r="BQ410" s="147"/>
      <c r="BR410" s="176"/>
      <c r="BS410" s="176"/>
      <c r="BT410" s="176"/>
      <c r="BU410" s="176"/>
      <c r="BV410" s="176"/>
      <c r="BW410" s="176"/>
      <c r="BX410" s="176"/>
      <c r="BY410" s="176"/>
      <c r="BZ410" s="176"/>
    </row>
    <row r="411" spans="3:78" ht="18" customHeight="1" x14ac:dyDescent="0.2">
      <c r="C411" s="371"/>
      <c r="AF411" s="143"/>
      <c r="AG411" s="143"/>
      <c r="AH411" s="143"/>
      <c r="AI411" s="143"/>
      <c r="AJ411" s="143"/>
      <c r="AK411" s="143"/>
      <c r="AL411" s="143"/>
      <c r="AM411" s="143"/>
      <c r="AN411" s="197" t="s">
        <v>53</v>
      </c>
      <c r="AO411" s="198"/>
      <c r="AP411" s="199"/>
      <c r="AQ411" s="199"/>
      <c r="AR411" s="200"/>
      <c r="AS411" s="153"/>
      <c r="AT411" s="153"/>
      <c r="AU411" s="135"/>
      <c r="AV411" s="143"/>
      <c r="BD411" s="152"/>
      <c r="BE411" s="148"/>
      <c r="BF411" s="206"/>
      <c r="BG411" s="194"/>
      <c r="BH411" s="144"/>
      <c r="BI411" s="194"/>
      <c r="BJ411" s="135"/>
      <c r="BK411" s="136"/>
      <c r="BL411" s="149"/>
      <c r="BO411" s="135"/>
      <c r="BP411" s="135"/>
      <c r="BQ411" s="147"/>
      <c r="BR411" s="176"/>
      <c r="BS411" s="176"/>
      <c r="BT411" s="176"/>
      <c r="BU411" s="176"/>
      <c r="BV411" s="176"/>
      <c r="BW411" s="176"/>
      <c r="BX411" s="176"/>
      <c r="BY411" s="176"/>
      <c r="BZ411" s="176"/>
    </row>
    <row r="412" spans="3:78" ht="18" customHeight="1" x14ac:dyDescent="0.2">
      <c r="C412" s="371"/>
      <c r="AF412" s="143"/>
      <c r="AG412" s="143"/>
      <c r="AH412" s="143"/>
      <c r="AI412" s="143"/>
      <c r="AJ412" s="143"/>
      <c r="AK412" s="143"/>
      <c r="AL412" s="143"/>
      <c r="AM412" s="143"/>
      <c r="AN412" s="224" t="s">
        <v>54</v>
      </c>
      <c r="AO412" s="225" t="s">
        <v>55</v>
      </c>
      <c r="AP412" s="226">
        <v>4</v>
      </c>
      <c r="AQ412" s="226">
        <v>1600.8</v>
      </c>
      <c r="AR412" s="215">
        <f>+ROUND(AP412*AQ412,2)</f>
        <v>6403.2</v>
      </c>
      <c r="AS412" s="194"/>
      <c r="AT412" s="194"/>
      <c r="AU412" s="135"/>
      <c r="AV412" s="143"/>
      <c r="BD412" s="152"/>
      <c r="BE412" s="148"/>
      <c r="BF412" s="206"/>
      <c r="BG412" s="194"/>
      <c r="BH412" s="144"/>
      <c r="BI412" s="194"/>
      <c r="BJ412" s="135"/>
      <c r="BK412" s="136"/>
      <c r="BL412" s="149"/>
      <c r="BO412" s="135"/>
      <c r="BP412" s="135"/>
      <c r="BQ412" s="147"/>
      <c r="BR412" s="176"/>
      <c r="BS412" s="176"/>
      <c r="BT412" s="176"/>
      <c r="BU412" s="176"/>
      <c r="BV412" s="176"/>
      <c r="BW412" s="176"/>
      <c r="BX412" s="176"/>
      <c r="BY412" s="176"/>
      <c r="BZ412" s="176"/>
    </row>
    <row r="413" spans="3:78" ht="18" customHeight="1" x14ac:dyDescent="0.2">
      <c r="C413" s="371"/>
      <c r="AF413" s="143"/>
      <c r="AG413" s="143"/>
      <c r="AH413" s="143"/>
      <c r="AI413" s="143"/>
      <c r="AJ413" s="143"/>
      <c r="AK413" s="143"/>
      <c r="AL413" s="143"/>
      <c r="AM413" s="143"/>
      <c r="AN413" s="224" t="s">
        <v>56</v>
      </c>
      <c r="AO413" s="225" t="s">
        <v>55</v>
      </c>
      <c r="AP413" s="226">
        <v>4</v>
      </c>
      <c r="AQ413" s="226">
        <v>1354.6999999999998</v>
      </c>
      <c r="AR413" s="215">
        <f>+ROUND(AP413*AQ413,2)</f>
        <v>5418.8</v>
      </c>
      <c r="AS413" s="194"/>
      <c r="AT413" s="194"/>
      <c r="AU413" s="135"/>
      <c r="AV413" s="143"/>
      <c r="BD413" s="152"/>
      <c r="BE413" s="148"/>
      <c r="BF413" s="206"/>
      <c r="BG413" s="194"/>
      <c r="BH413" s="144"/>
      <c r="BI413" s="194"/>
      <c r="BJ413" s="135"/>
      <c r="BK413" s="136"/>
      <c r="BL413" s="149"/>
      <c r="BO413" s="135"/>
      <c r="BP413" s="135"/>
      <c r="BQ413" s="147"/>
      <c r="BR413" s="176"/>
      <c r="BS413" s="176"/>
      <c r="BT413" s="176"/>
      <c r="BU413" s="176"/>
      <c r="BV413" s="176"/>
      <c r="BW413" s="176"/>
      <c r="BX413" s="176"/>
      <c r="BY413" s="176"/>
      <c r="BZ413" s="176"/>
    </row>
    <row r="414" spans="3:78" ht="18" customHeight="1" x14ac:dyDescent="0.2">
      <c r="C414" s="371"/>
      <c r="AF414" s="143"/>
      <c r="AG414" s="143"/>
      <c r="AH414" s="143"/>
      <c r="AI414" s="143"/>
      <c r="AJ414" s="143"/>
      <c r="AK414" s="143"/>
      <c r="AL414" s="143"/>
      <c r="AM414" s="143"/>
      <c r="AN414" s="248"/>
      <c r="AO414" s="249"/>
      <c r="AP414" s="219"/>
      <c r="AQ414" s="219"/>
      <c r="AR414" s="215"/>
      <c r="AS414" s="194"/>
      <c r="AT414" s="194"/>
      <c r="AU414" s="135"/>
      <c r="AV414" s="143"/>
      <c r="BD414" s="152"/>
      <c r="BE414" s="148"/>
      <c r="BF414" s="206"/>
      <c r="BG414" s="194"/>
      <c r="BH414" s="144"/>
      <c r="BI414" s="194"/>
      <c r="BJ414" s="135"/>
      <c r="BK414" s="136"/>
      <c r="BL414" s="149"/>
      <c r="BO414" s="135"/>
      <c r="BP414" s="135"/>
      <c r="BQ414" s="147"/>
      <c r="BR414" s="176"/>
      <c r="BS414" s="176"/>
      <c r="BT414" s="176"/>
      <c r="BU414" s="176"/>
      <c r="BV414" s="176"/>
      <c r="BW414" s="176"/>
      <c r="BX414" s="176"/>
      <c r="BY414" s="176"/>
      <c r="BZ414" s="176"/>
    </row>
    <row r="415" spans="3:78" ht="18" customHeight="1" x14ac:dyDescent="0.2">
      <c r="C415" s="371"/>
      <c r="AF415" s="143"/>
      <c r="AG415" s="143"/>
      <c r="AH415" s="143"/>
      <c r="AI415" s="143"/>
      <c r="AJ415" s="143"/>
      <c r="AK415" s="143"/>
      <c r="AL415" s="143"/>
      <c r="AM415" s="143"/>
      <c r="AN415" s="232" t="s">
        <v>57</v>
      </c>
      <c r="AO415" s="233"/>
      <c r="AP415" s="234"/>
      <c r="AQ415" s="234"/>
      <c r="AR415" s="235">
        <f>SUM(AR412:AR414)</f>
        <v>11822</v>
      </c>
      <c r="AS415" s="138">
        <f>+AR415/AR410</f>
        <v>2.3046327602201749E-2</v>
      </c>
      <c r="AU415" s="135"/>
      <c r="AV415" s="143"/>
      <c r="BD415" s="152"/>
      <c r="BE415" s="148"/>
      <c r="BF415" s="206"/>
      <c r="BG415" s="194"/>
      <c r="BH415" s="144"/>
      <c r="BI415" s="194"/>
      <c r="BJ415" s="135"/>
      <c r="BK415" s="136"/>
      <c r="BL415" s="149"/>
      <c r="BO415" s="135"/>
      <c r="BP415" s="135"/>
      <c r="BQ415" s="147"/>
      <c r="BR415" s="176"/>
      <c r="BS415" s="176"/>
      <c r="BT415" s="176"/>
      <c r="BU415" s="176"/>
      <c r="BV415" s="176"/>
      <c r="BW415" s="176"/>
      <c r="BX415" s="176"/>
      <c r="BY415" s="176"/>
      <c r="BZ415" s="176"/>
    </row>
    <row r="416" spans="3:78" x14ac:dyDescent="0.2">
      <c r="C416" s="371"/>
      <c r="AF416" s="143"/>
      <c r="AG416" s="143"/>
      <c r="AH416" s="143"/>
      <c r="AI416" s="143"/>
      <c r="AJ416" s="143"/>
      <c r="AK416" s="143"/>
      <c r="AL416" s="143"/>
      <c r="AM416" s="143"/>
      <c r="AN416" s="197" t="s">
        <v>58</v>
      </c>
      <c r="AO416" s="198"/>
      <c r="AP416" s="199"/>
      <c r="AQ416" s="199"/>
      <c r="AR416" s="200"/>
      <c r="AS416" s="153"/>
      <c r="AT416" s="153"/>
      <c r="AU416" s="135"/>
      <c r="AV416" s="143"/>
      <c r="BD416" s="152"/>
      <c r="BE416" s="148"/>
      <c r="BF416" s="206"/>
      <c r="BG416" s="194"/>
      <c r="BH416" s="144"/>
      <c r="BI416" s="194"/>
      <c r="BJ416" s="135"/>
      <c r="BK416" s="136"/>
      <c r="BL416" s="149"/>
      <c r="BO416" s="135"/>
      <c r="BP416" s="135"/>
      <c r="BQ416" s="147"/>
      <c r="BR416" s="176"/>
      <c r="BS416" s="176"/>
      <c r="BT416" s="176"/>
      <c r="BU416" s="176"/>
      <c r="BV416" s="176"/>
      <c r="BW416" s="176"/>
      <c r="BX416" s="176"/>
      <c r="BY416" s="176"/>
      <c r="BZ416" s="176"/>
    </row>
    <row r="417" spans="3:78" x14ac:dyDescent="0.2">
      <c r="C417" s="371"/>
      <c r="AF417" s="143"/>
      <c r="AG417" s="143"/>
      <c r="AH417" s="143"/>
      <c r="AI417" s="143"/>
      <c r="AJ417" s="143"/>
      <c r="AK417" s="143"/>
      <c r="AL417" s="143"/>
      <c r="AM417" s="143"/>
      <c r="AN417" s="252" t="s">
        <v>59</v>
      </c>
      <c r="AO417" s="213" t="s">
        <v>60</v>
      </c>
      <c r="AP417" s="226">
        <v>250</v>
      </c>
      <c r="AQ417" s="226">
        <v>1.9600688000000004</v>
      </c>
      <c r="AR417" s="215">
        <f>+ROUND(AP417*AQ417,2)</f>
        <v>490.02</v>
      </c>
      <c r="AS417" s="194"/>
      <c r="AT417" s="194"/>
      <c r="AU417" s="135"/>
      <c r="AV417" s="143"/>
      <c r="BD417" s="152"/>
      <c r="BE417" s="148"/>
      <c r="BF417" s="206"/>
      <c r="BG417" s="194"/>
      <c r="BH417" s="144"/>
      <c r="BI417" s="194"/>
      <c r="BJ417" s="135"/>
      <c r="BK417" s="136"/>
      <c r="BL417" s="149"/>
      <c r="BO417" s="135"/>
      <c r="BP417" s="135"/>
      <c r="BQ417" s="147"/>
      <c r="BR417" s="176"/>
      <c r="BS417" s="176"/>
      <c r="BT417" s="176"/>
      <c r="BU417" s="176"/>
      <c r="BV417" s="176"/>
      <c r="BW417" s="176"/>
      <c r="BX417" s="176"/>
      <c r="BY417" s="176"/>
      <c r="BZ417" s="176"/>
    </row>
    <row r="418" spans="3:78" x14ac:dyDescent="0.2">
      <c r="C418" s="371"/>
      <c r="AF418" s="143"/>
      <c r="AG418" s="143"/>
      <c r="AH418" s="143"/>
      <c r="AI418" s="143"/>
      <c r="AJ418" s="143"/>
      <c r="AK418" s="143"/>
      <c r="AL418" s="143"/>
      <c r="AM418" s="143"/>
      <c r="AN418" s="202" t="s">
        <v>62</v>
      </c>
      <c r="AO418" s="250"/>
      <c r="AP418" s="168"/>
      <c r="AQ418" s="168"/>
      <c r="AR418" s="251">
        <f>SUM(AR417:AR417)</f>
        <v>490.02</v>
      </c>
      <c r="AS418" s="194"/>
      <c r="AT418" s="194"/>
      <c r="AU418" s="135"/>
      <c r="AV418" s="143"/>
      <c r="BD418" s="152"/>
      <c r="BE418" s="148"/>
      <c r="BF418" s="206"/>
      <c r="BG418" s="194"/>
      <c r="BH418" s="144"/>
      <c r="BI418" s="194"/>
      <c r="BJ418" s="135"/>
      <c r="BK418" s="136"/>
      <c r="BL418" s="149"/>
      <c r="BO418" s="135"/>
      <c r="BP418" s="135"/>
      <c r="BQ418" s="147"/>
      <c r="BR418" s="176"/>
      <c r="BS418" s="176"/>
      <c r="BT418" s="176"/>
      <c r="BU418" s="176"/>
      <c r="BV418" s="176"/>
      <c r="BW418" s="176"/>
      <c r="BX418" s="176"/>
      <c r="BY418" s="176"/>
      <c r="BZ418" s="176"/>
    </row>
    <row r="419" spans="3:78" x14ac:dyDescent="0.2">
      <c r="C419" s="371"/>
      <c r="AF419" s="143"/>
      <c r="AG419" s="143"/>
      <c r="AH419" s="143"/>
      <c r="AI419" s="143"/>
      <c r="AJ419" s="143"/>
      <c r="AK419" s="143"/>
      <c r="AL419" s="143"/>
      <c r="AM419" s="143"/>
      <c r="AN419" s="253" t="s">
        <v>63</v>
      </c>
      <c r="AO419" s="233"/>
      <c r="AP419" s="254" t="s">
        <v>64</v>
      </c>
      <c r="AQ419" s="255"/>
      <c r="AR419" s="256">
        <f>+AR410+AR415+AR418</f>
        <v>525278.78</v>
      </c>
      <c r="AS419" s="194"/>
      <c r="AT419" s="194"/>
      <c r="AU419" s="135"/>
      <c r="AV419" s="143"/>
      <c r="BD419" s="152"/>
      <c r="BE419" s="148"/>
      <c r="BF419" s="206"/>
      <c r="BG419" s="194"/>
      <c r="BH419" s="144"/>
      <c r="BI419" s="194"/>
      <c r="BJ419" s="135"/>
      <c r="BK419" s="136"/>
      <c r="BL419" s="149"/>
      <c r="BO419" s="135"/>
      <c r="BP419" s="135"/>
      <c r="BQ419" s="147"/>
      <c r="BR419" s="176"/>
      <c r="BS419" s="176"/>
      <c r="BT419" s="176"/>
      <c r="BU419" s="176"/>
      <c r="BV419" s="176"/>
      <c r="BW419" s="176"/>
      <c r="BX419" s="176"/>
      <c r="BY419" s="176"/>
      <c r="BZ419" s="176"/>
    </row>
    <row r="420" spans="3:78" x14ac:dyDescent="0.2">
      <c r="C420" s="371"/>
      <c r="AF420" s="143"/>
      <c r="AG420" s="143"/>
      <c r="AH420" s="143"/>
      <c r="AI420" s="143"/>
      <c r="AJ420" s="143"/>
      <c r="AK420" s="143"/>
      <c r="AL420" s="143"/>
      <c r="AM420" s="143"/>
      <c r="AN420" s="152"/>
      <c r="AO420" s="153"/>
      <c r="AP420" s="145"/>
      <c r="AQ420" s="145"/>
      <c r="AR420" s="145"/>
      <c r="AS420" s="154"/>
      <c r="AT420" s="154"/>
      <c r="AU420" s="135"/>
      <c r="AV420" s="143"/>
      <c r="BD420" s="152"/>
      <c r="BE420" s="148"/>
      <c r="BF420" s="206"/>
      <c r="BG420" s="194"/>
      <c r="BH420" s="144"/>
      <c r="BI420" s="194"/>
      <c r="BJ420" s="135"/>
      <c r="BK420" s="136"/>
      <c r="BL420" s="149"/>
      <c r="BO420" s="135"/>
      <c r="BP420" s="135"/>
      <c r="BQ420" s="147"/>
      <c r="BR420" s="176"/>
      <c r="BS420" s="176"/>
      <c r="BT420" s="176"/>
      <c r="BU420" s="176"/>
      <c r="BV420" s="176"/>
      <c r="BW420" s="176"/>
      <c r="BX420" s="176"/>
      <c r="BY420" s="176"/>
      <c r="BZ420" s="176"/>
    </row>
    <row r="421" spans="3:78" x14ac:dyDescent="0.2">
      <c r="C421" s="371"/>
      <c r="AF421" s="143"/>
      <c r="AG421" s="143"/>
      <c r="AH421" s="143"/>
      <c r="AI421" s="143"/>
      <c r="AJ421" s="143"/>
      <c r="AK421" s="143"/>
      <c r="AL421" s="143"/>
      <c r="AM421" s="143"/>
      <c r="AN421" s="155" t="s">
        <v>399</v>
      </c>
      <c r="AO421" s="169"/>
      <c r="AP421" s="172"/>
      <c r="AQ421" s="172"/>
      <c r="AR421" s="173"/>
      <c r="AS421" s="154"/>
      <c r="AT421" s="154"/>
      <c r="AU421" s="135"/>
      <c r="AV421" s="143"/>
      <c r="BD421" s="152"/>
      <c r="BE421" s="148"/>
      <c r="BF421" s="206"/>
      <c r="BG421" s="194"/>
      <c r="BH421" s="144"/>
      <c r="BI421" s="194"/>
      <c r="BJ421" s="135"/>
      <c r="BK421" s="136"/>
      <c r="BL421" s="149"/>
      <c r="BO421" s="135"/>
      <c r="BP421" s="135"/>
      <c r="BQ421" s="147"/>
      <c r="BR421" s="176"/>
      <c r="BS421" s="176"/>
      <c r="BT421" s="176"/>
      <c r="BU421" s="176"/>
      <c r="BV421" s="176"/>
      <c r="BW421" s="176"/>
      <c r="BX421" s="176"/>
      <c r="BY421" s="176"/>
      <c r="BZ421" s="176"/>
    </row>
    <row r="422" spans="3:78" x14ac:dyDescent="0.2">
      <c r="C422" s="371"/>
      <c r="AF422" s="143"/>
      <c r="AG422" s="143"/>
      <c r="AH422" s="143"/>
      <c r="AI422" s="143"/>
      <c r="AJ422" s="143"/>
      <c r="AK422" s="143"/>
      <c r="AL422" s="143"/>
      <c r="AM422" s="143"/>
      <c r="AN422" s="177" t="s">
        <v>411</v>
      </c>
      <c r="AO422" s="150"/>
      <c r="AP422" s="178"/>
      <c r="AQ422" s="149"/>
      <c r="AR422" s="179" t="str">
        <f>$G$84</f>
        <v>Un</v>
      </c>
      <c r="AS422" s="180">
        <f>$H$84</f>
        <v>1</v>
      </c>
      <c r="AT422" s="180"/>
      <c r="AU422" s="135"/>
      <c r="AV422" s="143"/>
      <c r="BD422" s="152"/>
      <c r="BE422" s="148"/>
      <c r="BF422" s="206"/>
      <c r="BG422" s="194"/>
      <c r="BH422" s="144"/>
      <c r="BI422" s="194"/>
      <c r="BJ422" s="135"/>
      <c r="BK422" s="136"/>
      <c r="BL422" s="149"/>
      <c r="BO422" s="135"/>
      <c r="BP422" s="135"/>
      <c r="BQ422" s="147"/>
      <c r="BR422" s="176"/>
      <c r="BS422" s="176"/>
      <c r="BT422" s="176"/>
      <c r="BU422" s="176"/>
      <c r="BV422" s="176"/>
      <c r="BW422" s="176"/>
      <c r="BX422" s="176"/>
      <c r="BY422" s="176"/>
      <c r="BZ422" s="176"/>
    </row>
    <row r="423" spans="3:78" ht="16.5" thickBot="1" x14ac:dyDescent="0.25">
      <c r="C423" s="371"/>
      <c r="AF423" s="143"/>
      <c r="AG423" s="143"/>
      <c r="AH423" s="143"/>
      <c r="AI423" s="143"/>
      <c r="AJ423" s="143"/>
      <c r="AK423" s="143"/>
      <c r="AL423" s="143"/>
      <c r="AM423" s="143"/>
      <c r="AN423" s="183"/>
      <c r="AO423" s="184"/>
      <c r="AP423" s="185"/>
      <c r="AQ423" s="185"/>
      <c r="AR423" s="186"/>
      <c r="AU423" s="135"/>
      <c r="AV423" s="143"/>
      <c r="BD423" s="152"/>
      <c r="BE423" s="148"/>
      <c r="BF423" s="206"/>
      <c r="BG423" s="194"/>
      <c r="BH423" s="144"/>
      <c r="BI423" s="194"/>
      <c r="BJ423" s="135"/>
      <c r="BK423" s="136"/>
      <c r="BL423" s="149"/>
      <c r="BO423" s="135"/>
      <c r="BP423" s="135"/>
      <c r="BQ423" s="147"/>
      <c r="BR423" s="176"/>
      <c r="BS423" s="176"/>
      <c r="BT423" s="176"/>
      <c r="BU423" s="176"/>
      <c r="BV423" s="176"/>
      <c r="BW423" s="176"/>
      <c r="BX423" s="176"/>
      <c r="BY423" s="176"/>
      <c r="BZ423" s="176"/>
    </row>
    <row r="424" spans="3:78" ht="16.5" thickTop="1" x14ac:dyDescent="0.2">
      <c r="C424" s="371"/>
      <c r="AF424" s="143"/>
      <c r="AG424" s="143"/>
      <c r="AH424" s="143"/>
      <c r="AI424" s="143"/>
      <c r="AJ424" s="143"/>
      <c r="AK424" s="143"/>
      <c r="AL424" s="143"/>
      <c r="AM424" s="143"/>
      <c r="AN424" s="191" t="s">
        <v>31</v>
      </c>
      <c r="AO424" s="192" t="s">
        <v>32</v>
      </c>
      <c r="AP424" s="192" t="s">
        <v>33</v>
      </c>
      <c r="AQ424" s="192" t="s">
        <v>1</v>
      </c>
      <c r="AR424" s="192" t="s">
        <v>34</v>
      </c>
      <c r="AS424" s="193" t="s">
        <v>76</v>
      </c>
      <c r="AT424" s="153"/>
      <c r="AU424" s="135"/>
      <c r="AV424" s="143"/>
      <c r="BD424" s="152"/>
      <c r="BE424" s="148"/>
      <c r="BF424" s="206"/>
      <c r="BG424" s="194"/>
      <c r="BH424" s="144"/>
      <c r="BI424" s="194"/>
      <c r="BJ424" s="135"/>
      <c r="BK424" s="136"/>
      <c r="BL424" s="149"/>
      <c r="BO424" s="135"/>
      <c r="BP424" s="135"/>
      <c r="BQ424" s="147"/>
      <c r="BR424" s="176"/>
      <c r="BS424" s="176"/>
      <c r="BT424" s="176"/>
      <c r="BU424" s="176"/>
      <c r="BV424" s="176"/>
      <c r="BW424" s="176"/>
      <c r="BX424" s="176"/>
      <c r="BY424" s="176"/>
      <c r="BZ424" s="176"/>
    </row>
    <row r="425" spans="3:78" x14ac:dyDescent="0.2">
      <c r="C425" s="371"/>
      <c r="AF425" s="143"/>
      <c r="AG425" s="143"/>
      <c r="AH425" s="143"/>
      <c r="AI425" s="143"/>
      <c r="AJ425" s="143"/>
      <c r="AK425" s="143"/>
      <c r="AL425" s="143"/>
      <c r="AM425" s="143"/>
      <c r="AN425" s="197" t="s">
        <v>37</v>
      </c>
      <c r="AO425" s="198"/>
      <c r="AP425" s="199"/>
      <c r="AQ425" s="199"/>
      <c r="AR425" s="200"/>
      <c r="AS425" s="201"/>
      <c r="AT425" s="194"/>
      <c r="AU425" s="135"/>
      <c r="AV425" s="143"/>
      <c r="BD425" s="152"/>
      <c r="BE425" s="148"/>
      <c r="BF425" s="206"/>
      <c r="BG425" s="194"/>
      <c r="BH425" s="144"/>
      <c r="BI425" s="194"/>
      <c r="BJ425" s="135"/>
      <c r="BK425" s="136"/>
      <c r="BL425" s="149"/>
      <c r="BO425" s="135"/>
      <c r="BP425" s="135"/>
      <c r="BQ425" s="147"/>
      <c r="BR425" s="176"/>
      <c r="BS425" s="176"/>
      <c r="BT425" s="176"/>
      <c r="BU425" s="176"/>
      <c r="BV425" s="176"/>
      <c r="BW425" s="176"/>
      <c r="BX425" s="176"/>
      <c r="BY425" s="176"/>
      <c r="BZ425" s="176"/>
    </row>
    <row r="426" spans="3:78" x14ac:dyDescent="0.2">
      <c r="C426" s="371"/>
      <c r="AF426" s="143"/>
      <c r="AG426" s="143"/>
      <c r="AH426" s="143"/>
      <c r="AI426" s="143"/>
      <c r="AJ426" s="143"/>
      <c r="AK426" s="143"/>
      <c r="AL426" s="143"/>
      <c r="AM426" s="143"/>
      <c r="AN426" s="216" t="s">
        <v>411</v>
      </c>
      <c r="AO426" s="213" t="s">
        <v>28</v>
      </c>
      <c r="AP426" s="214">
        <v>1</v>
      </c>
      <c r="AQ426" s="214">
        <v>512983.55160000006</v>
      </c>
      <c r="AR426" s="215">
        <f>+ROUND(AP426*AQ426,2)</f>
        <v>512983.55</v>
      </c>
      <c r="AS426" s="201"/>
      <c r="AT426" s="194"/>
      <c r="AU426" s="135"/>
      <c r="AV426" s="143"/>
      <c r="BD426" s="152"/>
      <c r="BE426" s="148"/>
      <c r="BF426" s="206"/>
      <c r="BG426" s="194"/>
      <c r="BH426" s="144"/>
      <c r="BI426" s="194"/>
      <c r="BJ426" s="135"/>
      <c r="BK426" s="136"/>
      <c r="BL426" s="149"/>
      <c r="BO426" s="135"/>
      <c r="BP426" s="135"/>
      <c r="BQ426" s="147"/>
      <c r="BR426" s="176"/>
      <c r="BS426" s="176"/>
      <c r="BT426" s="176"/>
      <c r="BU426" s="176"/>
      <c r="BV426" s="176"/>
      <c r="BW426" s="176"/>
      <c r="BX426" s="176"/>
      <c r="BY426" s="176"/>
      <c r="BZ426" s="176"/>
    </row>
    <row r="427" spans="3:78" x14ac:dyDescent="0.2">
      <c r="C427" s="372"/>
      <c r="AF427" s="143"/>
      <c r="AG427" s="143"/>
      <c r="AH427" s="143"/>
      <c r="AI427" s="143"/>
      <c r="AJ427" s="143"/>
      <c r="AK427" s="143"/>
      <c r="AL427" s="143"/>
      <c r="AM427" s="143"/>
      <c r="AN427" s="216" t="s">
        <v>323</v>
      </c>
      <c r="AO427" s="213" t="s">
        <v>28</v>
      </c>
      <c r="AP427" s="214">
        <v>1</v>
      </c>
      <c r="AQ427" s="214">
        <v>15389.5065</v>
      </c>
      <c r="AR427" s="215">
        <f>+ROUND(AP427*AQ427,2)</f>
        <v>15389.51</v>
      </c>
      <c r="AS427" s="201"/>
      <c r="AT427" s="194"/>
      <c r="AU427" s="135"/>
      <c r="AV427" s="143"/>
      <c r="BD427" s="152"/>
      <c r="BE427" s="148"/>
      <c r="BF427" s="206"/>
      <c r="BG427" s="194"/>
      <c r="BH427" s="144"/>
      <c r="BI427" s="194"/>
      <c r="BJ427" s="135"/>
      <c r="BK427" s="136"/>
      <c r="BL427" s="149"/>
      <c r="BO427" s="135"/>
      <c r="BP427" s="135"/>
      <c r="BQ427" s="147"/>
      <c r="BR427" s="135"/>
      <c r="BS427" s="135"/>
      <c r="BT427" s="135"/>
      <c r="BU427" s="135"/>
      <c r="BV427" s="135"/>
      <c r="BW427" s="176"/>
      <c r="BX427" s="176"/>
      <c r="BY427" s="176"/>
      <c r="BZ427" s="176"/>
    </row>
    <row r="428" spans="3:78" x14ac:dyDescent="0.2">
      <c r="C428" s="370"/>
      <c r="AF428" s="143"/>
      <c r="AG428" s="143"/>
      <c r="AH428" s="143"/>
      <c r="AI428" s="143"/>
      <c r="AJ428" s="143"/>
      <c r="AK428" s="143"/>
      <c r="AL428" s="143"/>
      <c r="AM428" s="143"/>
      <c r="AN428" s="224" t="s">
        <v>50</v>
      </c>
      <c r="AO428" s="225" t="s">
        <v>28</v>
      </c>
      <c r="AP428" s="226">
        <v>0.03</v>
      </c>
      <c r="AQ428" s="219">
        <v>528373.05999999994</v>
      </c>
      <c r="AR428" s="215">
        <f>+ROUND(AP428*AQ428,2)</f>
        <v>15851.19</v>
      </c>
      <c r="AS428" s="201"/>
      <c r="AT428" s="194"/>
      <c r="AU428" s="135"/>
      <c r="AV428" s="143"/>
      <c r="BD428" s="152"/>
      <c r="BE428" s="148"/>
      <c r="BF428" s="206"/>
      <c r="BG428" s="194"/>
      <c r="BH428" s="144"/>
      <c r="BI428" s="194"/>
      <c r="BJ428" s="135"/>
      <c r="BK428" s="136"/>
      <c r="BL428" s="149"/>
      <c r="BO428" s="135"/>
      <c r="BP428" s="135"/>
      <c r="BQ428" s="147"/>
      <c r="BR428" s="135"/>
      <c r="BS428" s="135"/>
      <c r="BT428" s="135"/>
      <c r="BU428" s="135"/>
      <c r="BV428" s="135"/>
      <c r="BW428" s="176"/>
      <c r="BX428" s="176"/>
      <c r="BY428" s="176"/>
      <c r="BZ428" s="176"/>
    </row>
    <row r="429" spans="3:78" x14ac:dyDescent="0.2">
      <c r="C429" s="371"/>
      <c r="AF429" s="143"/>
      <c r="AG429" s="143"/>
      <c r="AH429" s="143"/>
      <c r="AI429" s="143"/>
      <c r="AJ429" s="143"/>
      <c r="AK429" s="143"/>
      <c r="AL429" s="143"/>
      <c r="AM429" s="143"/>
      <c r="AN429" s="232" t="s">
        <v>51</v>
      </c>
      <c r="AO429" s="233"/>
      <c r="AP429" s="234"/>
      <c r="AQ429" s="234"/>
      <c r="AR429" s="235">
        <f>SUM(AR426:AR428)</f>
        <v>544224.24999999988</v>
      </c>
      <c r="AS429" s="235"/>
      <c r="AU429" s="135"/>
      <c r="AV429" s="143"/>
      <c r="BD429" s="152"/>
      <c r="BE429" s="148"/>
      <c r="BF429" s="206"/>
      <c r="BG429" s="194"/>
      <c r="BH429" s="144"/>
      <c r="BI429" s="194"/>
      <c r="BJ429" s="135"/>
      <c r="BK429" s="136"/>
      <c r="BL429" s="149"/>
      <c r="BO429" s="135"/>
      <c r="BP429" s="135"/>
      <c r="BQ429" s="147"/>
      <c r="BR429" s="135"/>
      <c r="BS429" s="135"/>
      <c r="BT429" s="135"/>
      <c r="BU429" s="135"/>
      <c r="BV429" s="135"/>
      <c r="BW429" s="176"/>
      <c r="BX429" s="176"/>
      <c r="BY429" s="176"/>
      <c r="BZ429" s="176"/>
    </row>
    <row r="430" spans="3:78" x14ac:dyDescent="0.2">
      <c r="C430" s="371"/>
      <c r="AF430" s="143"/>
      <c r="AG430" s="143"/>
      <c r="AH430" s="143"/>
      <c r="AI430" s="143"/>
      <c r="AJ430" s="143"/>
      <c r="AK430" s="143"/>
      <c r="AL430" s="143"/>
      <c r="AM430" s="143"/>
      <c r="AN430" s="197" t="s">
        <v>53</v>
      </c>
      <c r="AO430" s="198"/>
      <c r="AP430" s="199"/>
      <c r="AQ430" s="199"/>
      <c r="AR430" s="200"/>
      <c r="AS430" s="153"/>
      <c r="AT430" s="153"/>
      <c r="AU430" s="135"/>
      <c r="AV430" s="143"/>
      <c r="BD430" s="152"/>
      <c r="BE430" s="148"/>
      <c r="BF430" s="206"/>
      <c r="BG430" s="194"/>
      <c r="BH430" s="144"/>
      <c r="BI430" s="194"/>
      <c r="BJ430" s="135"/>
      <c r="BK430" s="136"/>
      <c r="BL430" s="149"/>
      <c r="BO430" s="135"/>
      <c r="BP430" s="135"/>
      <c r="BQ430" s="147"/>
      <c r="BR430" s="135"/>
      <c r="BS430" s="135"/>
      <c r="BT430" s="135"/>
      <c r="BU430" s="135"/>
      <c r="BV430" s="135"/>
      <c r="BW430" s="176"/>
      <c r="BX430" s="176"/>
      <c r="BY430" s="176"/>
      <c r="BZ430" s="176"/>
    </row>
    <row r="431" spans="3:78" x14ac:dyDescent="0.2">
      <c r="C431" s="371"/>
      <c r="AF431" s="143"/>
      <c r="AG431" s="143"/>
      <c r="AH431" s="143"/>
      <c r="AI431" s="143"/>
      <c r="AJ431" s="143"/>
      <c r="AK431" s="143"/>
      <c r="AL431" s="143"/>
      <c r="AM431" s="143"/>
      <c r="AN431" s="224" t="s">
        <v>54</v>
      </c>
      <c r="AO431" s="225" t="s">
        <v>55</v>
      </c>
      <c r="AP431" s="226">
        <v>4</v>
      </c>
      <c r="AQ431" s="226">
        <v>1600.8</v>
      </c>
      <c r="AR431" s="215">
        <f>+ROUND(AP431*AQ431,2)</f>
        <v>6403.2</v>
      </c>
      <c r="AS431" s="194"/>
      <c r="AT431" s="194"/>
      <c r="AU431" s="135"/>
      <c r="AV431" s="143"/>
      <c r="BD431" s="152"/>
      <c r="BE431" s="148"/>
      <c r="BF431" s="206"/>
      <c r="BG431" s="194"/>
      <c r="BH431" s="144"/>
      <c r="BI431" s="194"/>
      <c r="BJ431" s="135"/>
      <c r="BK431" s="136"/>
      <c r="BL431" s="149"/>
      <c r="BO431" s="135"/>
      <c r="BP431" s="135"/>
      <c r="BQ431" s="147"/>
      <c r="BR431" s="135"/>
      <c r="BS431" s="135"/>
      <c r="BT431" s="135"/>
      <c r="BU431" s="135"/>
      <c r="BV431" s="135"/>
      <c r="BW431" s="176"/>
      <c r="BX431" s="176"/>
      <c r="BY431" s="176"/>
    </row>
    <row r="432" spans="3:78" x14ac:dyDescent="0.2">
      <c r="C432" s="371"/>
      <c r="AF432" s="143"/>
      <c r="AG432" s="143"/>
      <c r="AH432" s="143"/>
      <c r="AI432" s="143"/>
      <c r="AJ432" s="143"/>
      <c r="AK432" s="143"/>
      <c r="AL432" s="143"/>
      <c r="AM432" s="143"/>
      <c r="AN432" s="224" t="s">
        <v>56</v>
      </c>
      <c r="AO432" s="225" t="s">
        <v>55</v>
      </c>
      <c r="AP432" s="226">
        <v>4</v>
      </c>
      <c r="AQ432" s="226">
        <v>1354.6999999999998</v>
      </c>
      <c r="AR432" s="215">
        <f>+ROUND(AP432*AQ432,2)</f>
        <v>5418.8</v>
      </c>
      <c r="AS432" s="194"/>
      <c r="AT432" s="194"/>
      <c r="AU432" s="135"/>
      <c r="AV432" s="143"/>
      <c r="BD432" s="152"/>
      <c r="BE432" s="148"/>
      <c r="BF432" s="206"/>
      <c r="BG432" s="194"/>
      <c r="BH432" s="144"/>
      <c r="BI432" s="194"/>
      <c r="BJ432" s="135"/>
      <c r="BK432" s="136"/>
      <c r="BL432" s="149"/>
      <c r="BO432" s="135"/>
      <c r="BP432" s="135"/>
      <c r="BQ432" s="147"/>
      <c r="BR432" s="135"/>
      <c r="BS432" s="135"/>
      <c r="BT432" s="135"/>
      <c r="BU432" s="135"/>
      <c r="BV432" s="135"/>
      <c r="BW432" s="176"/>
      <c r="BX432" s="176"/>
      <c r="BY432" s="176"/>
    </row>
    <row r="433" spans="3:77" x14ac:dyDescent="0.2">
      <c r="C433" s="371"/>
      <c r="AF433" s="143"/>
      <c r="AG433" s="143"/>
      <c r="AH433" s="143"/>
      <c r="AI433" s="143"/>
      <c r="AJ433" s="143"/>
      <c r="AK433" s="143"/>
      <c r="AL433" s="143"/>
      <c r="AM433" s="143"/>
      <c r="AN433" s="248"/>
      <c r="AO433" s="249"/>
      <c r="AP433" s="219"/>
      <c r="AQ433" s="219"/>
      <c r="AR433" s="215"/>
      <c r="AS433" s="194"/>
      <c r="AT433" s="194"/>
      <c r="AU433" s="135"/>
      <c r="AV433" s="143"/>
      <c r="BD433" s="152"/>
      <c r="BE433" s="148"/>
      <c r="BF433" s="206"/>
      <c r="BG433" s="194"/>
      <c r="BH433" s="144"/>
      <c r="BI433" s="194"/>
      <c r="BJ433" s="135"/>
      <c r="BK433" s="136"/>
      <c r="BL433" s="149"/>
      <c r="BO433" s="135"/>
      <c r="BP433" s="135"/>
      <c r="BQ433" s="147"/>
      <c r="BR433" s="135"/>
      <c r="BS433" s="135"/>
      <c r="BT433" s="135"/>
      <c r="BU433" s="135"/>
      <c r="BV433" s="135"/>
      <c r="BW433" s="176"/>
      <c r="BX433" s="176"/>
      <c r="BY433" s="176"/>
    </row>
    <row r="434" spans="3:77" x14ac:dyDescent="0.2">
      <c r="C434" s="371"/>
      <c r="AF434" s="143"/>
      <c r="AG434" s="143"/>
      <c r="AH434" s="143"/>
      <c r="AI434" s="143"/>
      <c r="AJ434" s="143"/>
      <c r="AK434" s="143"/>
      <c r="AL434" s="143"/>
      <c r="AM434" s="143"/>
      <c r="AN434" s="232" t="s">
        <v>57</v>
      </c>
      <c r="AO434" s="233"/>
      <c r="AP434" s="234"/>
      <c r="AQ434" s="234"/>
      <c r="AR434" s="235">
        <f>SUM(AR431:AR433)</f>
        <v>11822</v>
      </c>
      <c r="AS434" s="138">
        <f>+AR434/AR429</f>
        <v>2.1722663038260429E-2</v>
      </c>
      <c r="AU434" s="135"/>
      <c r="AV434" s="143"/>
      <c r="BD434" s="152"/>
      <c r="BE434" s="148"/>
      <c r="BF434" s="206"/>
      <c r="BG434" s="194"/>
      <c r="BH434" s="144"/>
      <c r="BI434" s="194"/>
      <c r="BJ434" s="135"/>
      <c r="BK434" s="136"/>
      <c r="BL434" s="149"/>
      <c r="BM434" s="136"/>
      <c r="BN434" s="136"/>
      <c r="BO434" s="136"/>
      <c r="BP434" s="135"/>
      <c r="BQ434" s="147"/>
      <c r="BR434" s="135"/>
      <c r="BS434" s="135"/>
      <c r="BT434" s="135"/>
      <c r="BU434" s="135"/>
      <c r="BV434" s="135"/>
      <c r="BW434" s="176"/>
      <c r="BX434" s="176"/>
      <c r="BY434" s="176"/>
    </row>
    <row r="435" spans="3:77" x14ac:dyDescent="0.2">
      <c r="C435" s="371"/>
      <c r="AF435" s="143"/>
      <c r="AG435" s="143"/>
      <c r="AH435" s="143"/>
      <c r="AI435" s="143"/>
      <c r="AJ435" s="143"/>
      <c r="AK435" s="143"/>
      <c r="AL435" s="143"/>
      <c r="AM435" s="143"/>
      <c r="AN435" s="197" t="s">
        <v>58</v>
      </c>
      <c r="AO435" s="198"/>
      <c r="AP435" s="199"/>
      <c r="AQ435" s="199"/>
      <c r="AR435" s="200"/>
      <c r="AS435" s="153"/>
      <c r="AT435" s="153"/>
      <c r="AU435" s="135"/>
      <c r="AV435" s="143"/>
      <c r="BD435" s="152"/>
      <c r="BE435" s="148"/>
      <c r="BF435" s="206"/>
      <c r="BG435" s="194"/>
      <c r="BH435" s="144"/>
      <c r="BI435" s="194"/>
      <c r="BJ435" s="135"/>
      <c r="BK435" s="136"/>
      <c r="BL435" s="149"/>
      <c r="BM435" s="136"/>
      <c r="BN435" s="136"/>
      <c r="BO435" s="136"/>
      <c r="BP435" s="135"/>
      <c r="BQ435" s="147"/>
      <c r="BR435" s="135"/>
      <c r="BS435" s="135"/>
      <c r="BT435" s="135"/>
      <c r="BU435" s="135"/>
      <c r="BV435" s="135"/>
      <c r="BW435" s="135"/>
      <c r="BX435" s="135"/>
    </row>
    <row r="436" spans="3:77" x14ac:dyDescent="0.2">
      <c r="C436" s="371"/>
      <c r="AF436" s="143"/>
      <c r="AG436" s="143"/>
      <c r="AH436" s="143"/>
      <c r="AI436" s="143"/>
      <c r="AJ436" s="143"/>
      <c r="AK436" s="143"/>
      <c r="AL436" s="143"/>
      <c r="AM436" s="143"/>
      <c r="AN436" s="252" t="s">
        <v>59</v>
      </c>
      <c r="AO436" s="213" t="s">
        <v>60</v>
      </c>
      <c r="AP436" s="226">
        <v>240</v>
      </c>
      <c r="AQ436" s="226">
        <v>1.9600688000000004</v>
      </c>
      <c r="AR436" s="215">
        <f>+ROUND(AP436*AQ436,2)</f>
        <v>470.42</v>
      </c>
      <c r="AS436" s="194"/>
      <c r="AT436" s="194"/>
      <c r="AU436" s="135"/>
      <c r="AV436" s="143"/>
      <c r="BD436" s="152"/>
      <c r="BE436" s="148"/>
      <c r="BF436" s="206"/>
      <c r="BG436" s="194"/>
      <c r="BH436" s="144"/>
      <c r="BI436" s="194"/>
      <c r="BJ436" s="135"/>
      <c r="BK436" s="136"/>
      <c r="BL436" s="149"/>
      <c r="BM436" s="136"/>
      <c r="BN436" s="136"/>
      <c r="BO436" s="136"/>
      <c r="BP436" s="135"/>
      <c r="BQ436" s="147"/>
      <c r="BR436" s="135"/>
      <c r="BS436" s="135"/>
      <c r="BT436" s="135"/>
      <c r="BU436" s="135"/>
      <c r="BV436" s="135"/>
      <c r="BW436" s="135"/>
      <c r="BX436" s="135"/>
    </row>
    <row r="437" spans="3:77" x14ac:dyDescent="0.2">
      <c r="C437" s="371"/>
      <c r="AF437" s="143"/>
      <c r="AG437" s="143"/>
      <c r="AH437" s="143"/>
      <c r="AI437" s="143"/>
      <c r="AJ437" s="143"/>
      <c r="AK437" s="143"/>
      <c r="AL437" s="143"/>
      <c r="AM437" s="143"/>
      <c r="AN437" s="202" t="s">
        <v>62</v>
      </c>
      <c r="AO437" s="250"/>
      <c r="AP437" s="168"/>
      <c r="AQ437" s="168"/>
      <c r="AR437" s="251">
        <f>SUM(AR436:AR436)</f>
        <v>470.42</v>
      </c>
      <c r="AS437" s="194"/>
      <c r="AT437" s="194"/>
      <c r="AU437" s="135"/>
      <c r="AV437" s="143"/>
      <c r="BD437" s="152"/>
      <c r="BE437" s="148"/>
      <c r="BF437" s="206"/>
      <c r="BG437" s="194"/>
      <c r="BH437" s="144"/>
      <c r="BI437" s="194"/>
      <c r="BJ437" s="135"/>
      <c r="BK437" s="136"/>
      <c r="BL437" s="149"/>
      <c r="BM437" s="136"/>
      <c r="BN437" s="136"/>
      <c r="BO437" s="136"/>
      <c r="BP437" s="135"/>
      <c r="BQ437" s="147"/>
      <c r="BR437" s="135"/>
      <c r="BS437" s="135"/>
      <c r="BT437" s="135"/>
      <c r="BU437" s="135"/>
      <c r="BV437" s="135"/>
      <c r="BW437" s="135"/>
      <c r="BX437" s="135"/>
    </row>
    <row r="438" spans="3:77" x14ac:dyDescent="0.2">
      <c r="C438" s="371"/>
      <c r="AF438" s="143"/>
      <c r="AG438" s="143"/>
      <c r="AH438" s="143"/>
      <c r="AI438" s="143"/>
      <c r="AJ438" s="143"/>
      <c r="AK438" s="143"/>
      <c r="AL438" s="143"/>
      <c r="AM438" s="143"/>
      <c r="AN438" s="253" t="s">
        <v>63</v>
      </c>
      <c r="AO438" s="233"/>
      <c r="AP438" s="254" t="s">
        <v>64</v>
      </c>
      <c r="AQ438" s="255"/>
      <c r="AR438" s="256">
        <f>+AR429+AR434+AR437</f>
        <v>556516.66999999993</v>
      </c>
      <c r="AS438" s="194"/>
      <c r="AT438" s="194"/>
      <c r="AU438" s="135"/>
      <c r="AV438" s="143"/>
      <c r="BD438" s="152"/>
      <c r="BE438" s="148"/>
      <c r="BF438" s="206"/>
      <c r="BG438" s="194"/>
      <c r="BH438" s="144"/>
      <c r="BI438" s="194"/>
      <c r="BJ438" s="135"/>
      <c r="BK438" s="136"/>
      <c r="BL438" s="149"/>
      <c r="BM438" s="136"/>
      <c r="BN438" s="136"/>
      <c r="BO438" s="136"/>
      <c r="BP438" s="135"/>
      <c r="BQ438" s="147"/>
      <c r="BR438" s="135"/>
      <c r="BS438" s="135"/>
      <c r="BT438" s="135"/>
      <c r="BU438" s="135"/>
      <c r="BV438" s="135"/>
      <c r="BW438" s="135"/>
      <c r="BX438" s="135"/>
    </row>
    <row r="439" spans="3:77" x14ac:dyDescent="0.2">
      <c r="C439" s="371"/>
      <c r="AF439" s="143"/>
      <c r="AG439" s="143"/>
      <c r="AH439" s="143"/>
      <c r="AI439" s="143"/>
      <c r="AJ439" s="143"/>
      <c r="AK439" s="143"/>
      <c r="AL439" s="143"/>
      <c r="AM439" s="143"/>
      <c r="AN439" s="152"/>
      <c r="AO439" s="153"/>
      <c r="AP439" s="145"/>
      <c r="AQ439" s="145"/>
      <c r="AR439" s="145"/>
      <c r="AS439" s="154"/>
      <c r="AT439" s="154"/>
      <c r="AU439" s="135"/>
      <c r="AV439" s="143"/>
      <c r="BD439" s="152"/>
      <c r="BE439" s="148"/>
      <c r="BF439" s="206"/>
      <c r="BG439" s="194"/>
      <c r="BH439" s="144"/>
      <c r="BI439" s="194"/>
      <c r="BJ439" s="135"/>
      <c r="BK439" s="136"/>
      <c r="BL439" s="149"/>
      <c r="BM439" s="136"/>
      <c r="BN439" s="136"/>
      <c r="BO439" s="136"/>
      <c r="BP439" s="135"/>
      <c r="BQ439" s="147"/>
      <c r="BR439" s="135"/>
      <c r="BS439" s="135"/>
      <c r="BT439" s="135"/>
      <c r="BU439" s="135"/>
      <c r="BV439" s="135"/>
      <c r="BW439" s="135"/>
      <c r="BX439" s="135"/>
    </row>
    <row r="440" spans="3:77" x14ac:dyDescent="0.2">
      <c r="C440" s="371"/>
      <c r="AF440" s="143"/>
      <c r="AG440" s="143"/>
      <c r="AH440" s="143"/>
      <c r="AI440" s="143"/>
      <c r="AJ440" s="143"/>
      <c r="AK440" s="143"/>
      <c r="AL440" s="143"/>
      <c r="AM440" s="143"/>
      <c r="AN440" s="155" t="s">
        <v>399</v>
      </c>
      <c r="AO440" s="169"/>
      <c r="AP440" s="172"/>
      <c r="AQ440" s="172"/>
      <c r="AR440" s="173"/>
      <c r="AS440" s="154"/>
      <c r="AT440" s="154"/>
      <c r="AU440" s="135"/>
      <c r="AV440" s="143"/>
      <c r="BD440" s="152"/>
      <c r="BE440" s="148"/>
      <c r="BF440" s="206"/>
      <c r="BG440" s="194"/>
      <c r="BH440" s="144"/>
      <c r="BI440" s="194"/>
      <c r="BJ440" s="135"/>
      <c r="BK440" s="136"/>
      <c r="BL440" s="149"/>
      <c r="BM440" s="136"/>
      <c r="BN440" s="136"/>
      <c r="BO440" s="136"/>
      <c r="BP440" s="135"/>
      <c r="BQ440" s="147"/>
      <c r="BR440" s="135"/>
      <c r="BS440" s="135"/>
      <c r="BT440" s="135"/>
      <c r="BU440" s="135"/>
      <c r="BV440" s="135"/>
      <c r="BW440" s="135"/>
      <c r="BX440" s="135"/>
    </row>
    <row r="441" spans="3:77" x14ac:dyDescent="0.2">
      <c r="C441" s="371"/>
      <c r="AF441" s="143"/>
      <c r="AG441" s="143"/>
      <c r="AH441" s="143"/>
      <c r="AI441" s="143"/>
      <c r="AJ441" s="143"/>
      <c r="AK441" s="143"/>
      <c r="AL441" s="143"/>
      <c r="AM441" s="143"/>
      <c r="AN441" s="177" t="s">
        <v>412</v>
      </c>
      <c r="AO441" s="150"/>
      <c r="AP441" s="178"/>
      <c r="AQ441" s="149"/>
      <c r="AR441" s="179" t="str">
        <f>$G$85</f>
        <v>Un</v>
      </c>
      <c r="AS441" s="180">
        <f>$H$85</f>
        <v>1</v>
      </c>
      <c r="AT441" s="180"/>
      <c r="AU441" s="135"/>
      <c r="AV441" s="143"/>
      <c r="BD441" s="152"/>
      <c r="BE441" s="148"/>
      <c r="BF441" s="206"/>
      <c r="BG441" s="194"/>
      <c r="BH441" s="144"/>
      <c r="BI441" s="194"/>
      <c r="BJ441" s="135"/>
      <c r="BK441" s="136"/>
      <c r="BL441" s="149"/>
      <c r="BM441" s="136"/>
      <c r="BN441" s="136"/>
      <c r="BO441" s="136"/>
      <c r="BP441" s="135"/>
      <c r="BQ441" s="369"/>
      <c r="BR441" s="135"/>
      <c r="BS441" s="135"/>
      <c r="BT441" s="135"/>
      <c r="BU441" s="135"/>
      <c r="BV441" s="135"/>
      <c r="BW441" s="135"/>
      <c r="BX441" s="135"/>
    </row>
    <row r="442" spans="3:77" ht="16.5" thickBot="1" x14ac:dyDescent="0.25">
      <c r="C442" s="371"/>
      <c r="AF442" s="143"/>
      <c r="AG442" s="143"/>
      <c r="AH442" s="143"/>
      <c r="AI442" s="143"/>
      <c r="AJ442" s="143"/>
      <c r="AK442" s="143"/>
      <c r="AL442" s="143"/>
      <c r="AM442" s="143"/>
      <c r="AN442" s="183"/>
      <c r="AO442" s="184"/>
      <c r="AP442" s="185"/>
      <c r="AQ442" s="185"/>
      <c r="AR442" s="186"/>
      <c r="AU442" s="135"/>
      <c r="AV442" s="143"/>
      <c r="BD442" s="152"/>
      <c r="BE442" s="148"/>
      <c r="BF442" s="206"/>
      <c r="BG442" s="194"/>
      <c r="BH442" s="144"/>
      <c r="BI442" s="194"/>
      <c r="BJ442" s="135"/>
      <c r="BK442" s="136"/>
      <c r="BL442" s="149"/>
      <c r="BM442" s="136"/>
      <c r="BN442" s="136"/>
      <c r="BO442" s="136"/>
      <c r="BP442" s="135"/>
      <c r="BQ442" s="369"/>
      <c r="BR442" s="135"/>
      <c r="BS442" s="135"/>
      <c r="BT442" s="135"/>
      <c r="BU442" s="135"/>
      <c r="BV442" s="135"/>
      <c r="BW442" s="135"/>
      <c r="BX442" s="135"/>
    </row>
    <row r="443" spans="3:77" ht="16.5" thickTop="1" x14ac:dyDescent="0.2">
      <c r="C443" s="371"/>
      <c r="AF443" s="143"/>
      <c r="AG443" s="143"/>
      <c r="AH443" s="143"/>
      <c r="AI443" s="143"/>
      <c r="AJ443" s="143"/>
      <c r="AK443" s="143"/>
      <c r="AL443" s="143"/>
      <c r="AM443" s="143"/>
      <c r="AN443" s="191" t="s">
        <v>31</v>
      </c>
      <c r="AO443" s="192" t="s">
        <v>32</v>
      </c>
      <c r="AP443" s="192" t="s">
        <v>33</v>
      </c>
      <c r="AQ443" s="192" t="s">
        <v>1</v>
      </c>
      <c r="AR443" s="192" t="s">
        <v>34</v>
      </c>
      <c r="AS443" s="193" t="s">
        <v>76</v>
      </c>
      <c r="AT443" s="153"/>
      <c r="AU443" s="135"/>
      <c r="AV443" s="143"/>
      <c r="BD443" s="152"/>
      <c r="BE443" s="148"/>
      <c r="BF443" s="206"/>
      <c r="BG443" s="194"/>
      <c r="BH443" s="144"/>
      <c r="BI443" s="194"/>
      <c r="BJ443" s="135"/>
      <c r="BK443" s="136"/>
      <c r="BL443" s="149"/>
      <c r="BM443" s="136"/>
      <c r="BN443" s="136"/>
      <c r="BO443" s="136"/>
      <c r="BP443" s="135"/>
      <c r="BQ443" s="369"/>
      <c r="BR443" s="135"/>
      <c r="BS443" s="135"/>
      <c r="BT443" s="135"/>
      <c r="BU443" s="135"/>
      <c r="BV443" s="135"/>
      <c r="BW443" s="135"/>
      <c r="BX443" s="135"/>
    </row>
    <row r="444" spans="3:77" x14ac:dyDescent="0.2">
      <c r="C444" s="373"/>
      <c r="AF444" s="143"/>
      <c r="AG444" s="143"/>
      <c r="AH444" s="143"/>
      <c r="AI444" s="143"/>
      <c r="AJ444" s="143"/>
      <c r="AK444" s="143"/>
      <c r="AL444" s="143"/>
      <c r="AM444" s="143"/>
      <c r="AN444" s="197" t="s">
        <v>37</v>
      </c>
      <c r="AO444" s="198"/>
      <c r="AP444" s="199"/>
      <c r="AQ444" s="199"/>
      <c r="AR444" s="200"/>
      <c r="AS444" s="201"/>
      <c r="AT444" s="194"/>
      <c r="AU444" s="135"/>
      <c r="AV444" s="143"/>
      <c r="BD444" s="152"/>
      <c r="BE444" s="148"/>
      <c r="BF444" s="206"/>
      <c r="BG444" s="194"/>
      <c r="BH444" s="144"/>
      <c r="BI444" s="194"/>
      <c r="BJ444" s="135"/>
      <c r="BK444" s="136"/>
      <c r="BL444" s="149"/>
      <c r="BM444" s="136"/>
      <c r="BN444" s="136"/>
      <c r="BO444" s="136"/>
      <c r="BP444" s="135"/>
      <c r="BQ444" s="369"/>
      <c r="BR444" s="135"/>
      <c r="BS444" s="135"/>
      <c r="BT444" s="135"/>
      <c r="BU444" s="135"/>
      <c r="BV444" s="135"/>
      <c r="BW444" s="135"/>
      <c r="BX444" s="135"/>
    </row>
    <row r="445" spans="3:77" x14ac:dyDescent="0.2">
      <c r="C445" s="371"/>
      <c r="AF445" s="143"/>
      <c r="AG445" s="143"/>
      <c r="AH445" s="143"/>
      <c r="AI445" s="143"/>
      <c r="AJ445" s="143"/>
      <c r="AK445" s="143"/>
      <c r="AL445" s="143"/>
      <c r="AM445" s="143"/>
      <c r="AN445" s="216" t="s">
        <v>412</v>
      </c>
      <c r="AO445" s="213" t="s">
        <v>28</v>
      </c>
      <c r="AP445" s="214">
        <v>1</v>
      </c>
      <c r="AQ445" s="214">
        <v>337221.41400000005</v>
      </c>
      <c r="AR445" s="215">
        <f>+ROUND(AP445*AQ445,2)</f>
        <v>337221.41</v>
      </c>
      <c r="AS445" s="201"/>
      <c r="AT445" s="194"/>
      <c r="AU445" s="135"/>
      <c r="AV445" s="143"/>
      <c r="BD445" s="152"/>
      <c r="BE445" s="148"/>
      <c r="BF445" s="206"/>
      <c r="BG445" s="194"/>
      <c r="BH445" s="144"/>
      <c r="BI445" s="194"/>
      <c r="BJ445" s="135"/>
      <c r="BK445" s="136"/>
      <c r="BL445" s="149"/>
      <c r="BM445" s="136"/>
      <c r="BN445" s="136"/>
      <c r="BO445" s="136"/>
      <c r="BP445" s="135"/>
      <c r="BQ445" s="147"/>
      <c r="BR445" s="135"/>
      <c r="BS445" s="135"/>
      <c r="BT445" s="135"/>
      <c r="BU445" s="135"/>
      <c r="BV445" s="135"/>
      <c r="BW445" s="135"/>
      <c r="BX445" s="135"/>
    </row>
    <row r="446" spans="3:77" x14ac:dyDescent="0.2">
      <c r="C446" s="371"/>
      <c r="AF446" s="143"/>
      <c r="AG446" s="143"/>
      <c r="AH446" s="143"/>
      <c r="AI446" s="143"/>
      <c r="AJ446" s="143"/>
      <c r="AK446" s="143"/>
      <c r="AL446" s="143"/>
      <c r="AM446" s="143"/>
      <c r="AN446" s="216" t="s">
        <v>323</v>
      </c>
      <c r="AO446" s="213" t="s">
        <v>28</v>
      </c>
      <c r="AP446" s="214">
        <v>1</v>
      </c>
      <c r="AQ446" s="214">
        <v>10116.6423</v>
      </c>
      <c r="AR446" s="215">
        <f>+ROUND(AP446*AQ446,2)</f>
        <v>10116.64</v>
      </c>
      <c r="AS446" s="201"/>
      <c r="AT446" s="194"/>
      <c r="AU446" s="135"/>
      <c r="AV446" s="143"/>
      <c r="BD446" s="152"/>
      <c r="BE446" s="148"/>
      <c r="BF446" s="206"/>
      <c r="BG446" s="194"/>
      <c r="BH446" s="144"/>
      <c r="BI446" s="194"/>
      <c r="BJ446" s="135"/>
      <c r="BK446" s="136"/>
      <c r="BL446" s="149"/>
      <c r="BM446" s="136"/>
      <c r="BN446" s="136"/>
      <c r="BO446" s="136"/>
      <c r="BP446" s="135"/>
      <c r="BQ446" s="147"/>
      <c r="BR446" s="135"/>
      <c r="BS446" s="135"/>
      <c r="BT446" s="135"/>
      <c r="BU446" s="135"/>
      <c r="BV446" s="135"/>
      <c r="BW446" s="135"/>
      <c r="BX446" s="135"/>
    </row>
    <row r="447" spans="3:77" x14ac:dyDescent="0.2">
      <c r="C447" s="371"/>
      <c r="AF447" s="143"/>
      <c r="AG447" s="143"/>
      <c r="AH447" s="143"/>
      <c r="AI447" s="143"/>
      <c r="AJ447" s="143"/>
      <c r="AK447" s="143"/>
      <c r="AL447" s="143"/>
      <c r="AM447" s="143"/>
      <c r="AN447" s="224" t="s">
        <v>50</v>
      </c>
      <c r="AO447" s="225" t="s">
        <v>28</v>
      </c>
      <c r="AP447" s="226">
        <v>0.03</v>
      </c>
      <c r="AQ447" s="219">
        <v>347338.05</v>
      </c>
      <c r="AR447" s="215">
        <f>+ROUND(AP447*AQ447,2)</f>
        <v>10420.14</v>
      </c>
      <c r="AS447" s="201"/>
      <c r="AT447" s="194"/>
      <c r="AU447" s="135"/>
      <c r="AV447" s="143"/>
      <c r="BD447" s="152"/>
      <c r="BE447" s="148"/>
      <c r="BF447" s="206"/>
      <c r="BG447" s="194"/>
      <c r="BH447" s="144"/>
      <c r="BI447" s="194"/>
      <c r="BJ447" s="135"/>
      <c r="BK447" s="136"/>
      <c r="BL447" s="149"/>
      <c r="BM447" s="136"/>
      <c r="BN447" s="136"/>
      <c r="BO447" s="136"/>
      <c r="BP447" s="135"/>
      <c r="BQ447" s="147"/>
      <c r="BR447" s="135"/>
      <c r="BS447" s="135"/>
      <c r="BT447" s="135"/>
      <c r="BU447" s="135"/>
      <c r="BV447" s="135"/>
      <c r="BW447" s="135"/>
      <c r="BX447" s="135"/>
    </row>
    <row r="448" spans="3:77" x14ac:dyDescent="0.2">
      <c r="C448" s="372"/>
      <c r="AF448" s="143"/>
      <c r="AG448" s="143"/>
      <c r="AH448" s="143"/>
      <c r="AI448" s="143"/>
      <c r="AJ448" s="143"/>
      <c r="AK448" s="143"/>
      <c r="AL448" s="143"/>
      <c r="AM448" s="143"/>
      <c r="AN448" s="232" t="s">
        <v>51</v>
      </c>
      <c r="AO448" s="233"/>
      <c r="AP448" s="234"/>
      <c r="AQ448" s="234"/>
      <c r="AR448" s="235">
        <f>SUM(AR445:AR447)</f>
        <v>357758.19</v>
      </c>
      <c r="AS448" s="235"/>
      <c r="AU448" s="135"/>
      <c r="AV448" s="143"/>
      <c r="BD448" s="152"/>
      <c r="BE448" s="148"/>
      <c r="BF448" s="206"/>
      <c r="BG448" s="194"/>
      <c r="BH448" s="144"/>
      <c r="BI448" s="194"/>
      <c r="BJ448" s="135"/>
      <c r="BK448" s="136"/>
      <c r="BL448" s="149"/>
      <c r="BM448" s="136"/>
      <c r="BN448" s="136"/>
      <c r="BO448" s="136"/>
      <c r="BP448" s="135"/>
      <c r="BQ448" s="147"/>
      <c r="BR448" s="135"/>
      <c r="BS448" s="135"/>
      <c r="BT448" s="135"/>
      <c r="BU448" s="135"/>
      <c r="BV448" s="135"/>
      <c r="BW448" s="135"/>
      <c r="BX448" s="135"/>
    </row>
    <row r="449" spans="3:76" x14ac:dyDescent="0.2">
      <c r="AF449" s="143"/>
      <c r="AG449" s="143"/>
      <c r="AH449" s="143"/>
      <c r="AI449" s="143"/>
      <c r="AJ449" s="143"/>
      <c r="AK449" s="143"/>
      <c r="AL449" s="143"/>
      <c r="AM449" s="143"/>
      <c r="AN449" s="197" t="s">
        <v>53</v>
      </c>
      <c r="AO449" s="198"/>
      <c r="AP449" s="199"/>
      <c r="AQ449" s="199"/>
      <c r="AR449" s="200"/>
      <c r="AS449" s="153"/>
      <c r="AT449" s="153"/>
      <c r="AU449" s="135"/>
      <c r="AV449" s="143"/>
      <c r="BD449" s="152"/>
      <c r="BE449" s="148"/>
      <c r="BF449" s="206"/>
      <c r="BG449" s="194"/>
      <c r="BH449" s="144"/>
      <c r="BI449" s="194"/>
      <c r="BJ449" s="135"/>
      <c r="BK449" s="136"/>
      <c r="BL449" s="149"/>
      <c r="BM449" s="136"/>
      <c r="BN449" s="136"/>
      <c r="BO449" s="136"/>
      <c r="BP449" s="135"/>
      <c r="BQ449" s="147"/>
      <c r="BR449" s="135"/>
      <c r="BS449" s="135"/>
      <c r="BT449" s="135"/>
      <c r="BU449" s="135"/>
      <c r="BV449" s="135"/>
      <c r="BW449" s="135"/>
      <c r="BX449" s="135"/>
    </row>
    <row r="450" spans="3:76" x14ac:dyDescent="0.2">
      <c r="C450" s="370"/>
      <c r="AF450" s="143"/>
      <c r="AG450" s="143"/>
      <c r="AH450" s="143"/>
      <c r="AI450" s="143"/>
      <c r="AJ450" s="143"/>
      <c r="AK450" s="143"/>
      <c r="AL450" s="143"/>
      <c r="AM450" s="143"/>
      <c r="AN450" s="224" t="s">
        <v>54</v>
      </c>
      <c r="AO450" s="225" t="s">
        <v>55</v>
      </c>
      <c r="AP450" s="226">
        <v>3</v>
      </c>
      <c r="AQ450" s="226">
        <v>1600.8</v>
      </c>
      <c r="AR450" s="215">
        <f>+ROUND(AP450*AQ450,2)</f>
        <v>4802.3999999999996</v>
      </c>
      <c r="AS450" s="194"/>
      <c r="AT450" s="194"/>
      <c r="AU450" s="135"/>
      <c r="AV450" s="143"/>
      <c r="BD450" s="152"/>
      <c r="BE450" s="148"/>
      <c r="BF450" s="206"/>
      <c r="BG450" s="194"/>
      <c r="BH450" s="144"/>
      <c r="BI450" s="194"/>
      <c r="BJ450" s="135"/>
      <c r="BK450" s="136"/>
      <c r="BL450" s="149"/>
      <c r="BM450" s="136"/>
      <c r="BN450" s="136"/>
      <c r="BO450" s="136"/>
      <c r="BP450" s="135"/>
      <c r="BQ450" s="147"/>
      <c r="BR450" s="135"/>
      <c r="BS450" s="135"/>
      <c r="BT450" s="135"/>
      <c r="BU450" s="135"/>
      <c r="BV450" s="135"/>
      <c r="BW450" s="135"/>
      <c r="BX450" s="135"/>
    </row>
    <row r="451" spans="3:76" x14ac:dyDescent="0.2">
      <c r="C451" s="371"/>
      <c r="AF451" s="143"/>
      <c r="AG451" s="143"/>
      <c r="AH451" s="143"/>
      <c r="AI451" s="143"/>
      <c r="AJ451" s="143"/>
      <c r="AK451" s="143"/>
      <c r="AL451" s="143"/>
      <c r="AM451" s="143"/>
      <c r="AN451" s="224" t="s">
        <v>56</v>
      </c>
      <c r="AO451" s="225" t="s">
        <v>55</v>
      </c>
      <c r="AP451" s="226">
        <v>2</v>
      </c>
      <c r="AQ451" s="226">
        <v>1354.6999999999998</v>
      </c>
      <c r="AR451" s="215">
        <f>+ROUND(AP451*AQ451,2)</f>
        <v>2709.4</v>
      </c>
      <c r="AS451" s="194"/>
      <c r="AT451" s="194"/>
      <c r="AU451" s="135"/>
      <c r="AV451" s="143"/>
      <c r="BD451" s="152"/>
      <c r="BE451" s="148"/>
      <c r="BF451" s="206"/>
      <c r="BG451" s="194"/>
      <c r="BH451" s="144"/>
      <c r="BI451" s="194"/>
      <c r="BJ451" s="135"/>
      <c r="BK451" s="136"/>
      <c r="BL451" s="149"/>
      <c r="BM451" s="136"/>
      <c r="BN451" s="136"/>
      <c r="BO451" s="136"/>
      <c r="BP451" s="135"/>
      <c r="BQ451" s="147"/>
      <c r="BR451" s="135"/>
      <c r="BS451" s="135"/>
      <c r="BT451" s="135"/>
      <c r="BU451" s="135"/>
      <c r="BV451" s="135"/>
      <c r="BW451" s="135"/>
      <c r="BX451" s="135"/>
    </row>
    <row r="452" spans="3:76" x14ac:dyDescent="0.2">
      <c r="C452" s="371"/>
      <c r="AF452" s="143"/>
      <c r="AG452" s="143"/>
      <c r="AH452" s="143"/>
      <c r="AI452" s="143"/>
      <c r="AJ452" s="143"/>
      <c r="AK452" s="143"/>
      <c r="AL452" s="143"/>
      <c r="AM452" s="143"/>
      <c r="AN452" s="248"/>
      <c r="AO452" s="249"/>
      <c r="AP452" s="219"/>
      <c r="AQ452" s="219"/>
      <c r="AR452" s="215"/>
      <c r="AS452" s="194"/>
      <c r="AT452" s="194"/>
      <c r="AU452" s="135"/>
      <c r="AV452" s="143"/>
      <c r="BD452" s="152"/>
      <c r="BE452" s="148"/>
      <c r="BF452" s="206"/>
      <c r="BG452" s="194"/>
      <c r="BH452" s="144"/>
      <c r="BI452" s="194"/>
      <c r="BJ452" s="135"/>
      <c r="BK452" s="136"/>
      <c r="BL452" s="149"/>
      <c r="BM452" s="136"/>
      <c r="BN452" s="136"/>
      <c r="BO452" s="136"/>
      <c r="BP452" s="135"/>
      <c r="BQ452" s="147"/>
      <c r="BR452" s="135"/>
      <c r="BS452" s="135"/>
      <c r="BT452" s="135"/>
      <c r="BU452" s="135"/>
      <c r="BV452" s="135"/>
      <c r="BW452" s="135"/>
      <c r="BX452" s="135"/>
    </row>
    <row r="453" spans="3:76" x14ac:dyDescent="0.2">
      <c r="C453" s="371"/>
      <c r="AF453" s="143"/>
      <c r="AG453" s="143"/>
      <c r="AH453" s="143"/>
      <c r="AI453" s="143"/>
      <c r="AJ453" s="143"/>
      <c r="AK453" s="143"/>
      <c r="AL453" s="143"/>
      <c r="AM453" s="143"/>
      <c r="AN453" s="232" t="s">
        <v>57</v>
      </c>
      <c r="AO453" s="233"/>
      <c r="AP453" s="234"/>
      <c r="AQ453" s="234"/>
      <c r="AR453" s="235">
        <f>SUM(AR450:AR452)</f>
        <v>7511.7999999999993</v>
      </c>
      <c r="AS453" s="138">
        <f>+AR453/AR448</f>
        <v>2.0996863831405227E-2</v>
      </c>
      <c r="AU453" s="135"/>
      <c r="AV453" s="143"/>
      <c r="BD453" s="152"/>
      <c r="BE453" s="148"/>
      <c r="BF453" s="206"/>
      <c r="BG453" s="194"/>
      <c r="BH453" s="144"/>
      <c r="BI453" s="194"/>
      <c r="BJ453" s="135"/>
      <c r="BK453" s="136"/>
      <c r="BL453" s="149"/>
      <c r="BM453" s="136"/>
      <c r="BN453" s="136"/>
      <c r="BO453" s="136"/>
      <c r="BP453" s="135"/>
      <c r="BQ453" s="147"/>
      <c r="BR453" s="135"/>
      <c r="BS453" s="135"/>
      <c r="BT453" s="135"/>
      <c r="BU453" s="135"/>
      <c r="BV453" s="135"/>
      <c r="BW453" s="135"/>
      <c r="BX453" s="135"/>
    </row>
    <row r="454" spans="3:76" x14ac:dyDescent="0.2">
      <c r="C454" s="371"/>
      <c r="AF454" s="143"/>
      <c r="AG454" s="143"/>
      <c r="AH454" s="143"/>
      <c r="AI454" s="143"/>
      <c r="AJ454" s="143"/>
      <c r="AK454" s="143"/>
      <c r="AL454" s="143"/>
      <c r="AM454" s="143"/>
      <c r="AN454" s="197" t="s">
        <v>58</v>
      </c>
      <c r="AO454" s="198"/>
      <c r="AP454" s="199"/>
      <c r="AQ454" s="199"/>
      <c r="AR454" s="200"/>
      <c r="AS454" s="153"/>
      <c r="AT454" s="153"/>
      <c r="AU454" s="135"/>
      <c r="AV454" s="143"/>
      <c r="BD454" s="152"/>
      <c r="BE454" s="148"/>
      <c r="BF454" s="206"/>
      <c r="BG454" s="194"/>
      <c r="BH454" s="144"/>
      <c r="BI454" s="194"/>
      <c r="BJ454" s="135"/>
      <c r="BK454" s="136"/>
      <c r="BL454" s="149"/>
      <c r="BM454" s="136"/>
      <c r="BN454" s="136"/>
      <c r="BO454" s="136"/>
      <c r="BP454" s="135"/>
      <c r="BQ454" s="147"/>
      <c r="BR454" s="135"/>
      <c r="BS454" s="135"/>
      <c r="BT454" s="135"/>
      <c r="BU454" s="135"/>
      <c r="BV454" s="135"/>
      <c r="BW454" s="135"/>
      <c r="BX454" s="135"/>
    </row>
    <row r="455" spans="3:76" x14ac:dyDescent="0.2">
      <c r="C455" s="372"/>
      <c r="AF455" s="143"/>
      <c r="AG455" s="143"/>
      <c r="AH455" s="143"/>
      <c r="AI455" s="143"/>
      <c r="AJ455" s="143"/>
      <c r="AK455" s="143"/>
      <c r="AL455" s="143"/>
      <c r="AM455" s="143"/>
      <c r="AN455" s="252" t="s">
        <v>59</v>
      </c>
      <c r="AO455" s="213" t="s">
        <v>60</v>
      </c>
      <c r="AP455" s="226">
        <v>220</v>
      </c>
      <c r="AQ455" s="226">
        <v>1.9600688000000004</v>
      </c>
      <c r="AR455" s="215">
        <f>+ROUND(AP455*AQ455,2)</f>
        <v>431.22</v>
      </c>
      <c r="AS455" s="194"/>
      <c r="AT455" s="194"/>
      <c r="AU455" s="135"/>
      <c r="AV455" s="143"/>
      <c r="BD455" s="152"/>
      <c r="BE455" s="148"/>
      <c r="BF455" s="206"/>
      <c r="BG455" s="194"/>
      <c r="BH455" s="144"/>
      <c r="BI455" s="194"/>
      <c r="BJ455" s="135"/>
      <c r="BK455" s="136"/>
      <c r="BL455" s="149"/>
      <c r="BM455" s="136"/>
      <c r="BN455" s="136"/>
      <c r="BO455" s="136"/>
      <c r="BP455" s="135"/>
      <c r="BQ455" s="147"/>
      <c r="BR455" s="135"/>
      <c r="BS455" s="135"/>
      <c r="BT455" s="135"/>
      <c r="BU455" s="135"/>
      <c r="BV455" s="135"/>
      <c r="BW455" s="135"/>
      <c r="BX455" s="135"/>
    </row>
    <row r="456" spans="3:76" x14ac:dyDescent="0.2">
      <c r="C456" s="371"/>
      <c r="AF456" s="143"/>
      <c r="AG456" s="143"/>
      <c r="AH456" s="143"/>
      <c r="AI456" s="143"/>
      <c r="AJ456" s="143"/>
      <c r="AK456" s="143"/>
      <c r="AL456" s="143"/>
      <c r="AM456" s="143"/>
      <c r="AN456" s="202" t="s">
        <v>62</v>
      </c>
      <c r="AO456" s="250"/>
      <c r="AP456" s="168"/>
      <c r="AQ456" s="168"/>
      <c r="AR456" s="251">
        <f>SUM(AR455:AR455)</f>
        <v>431.22</v>
      </c>
      <c r="AS456" s="194"/>
      <c r="AT456" s="194"/>
      <c r="AU456" s="135"/>
      <c r="AV456" s="143"/>
      <c r="BD456" s="152"/>
      <c r="BE456" s="148"/>
      <c r="BF456" s="206"/>
      <c r="BG456" s="194"/>
      <c r="BH456" s="144"/>
      <c r="BI456" s="194"/>
      <c r="BJ456" s="135"/>
      <c r="BK456" s="136"/>
      <c r="BL456" s="149"/>
      <c r="BM456" s="136"/>
      <c r="BN456" s="136"/>
      <c r="BO456" s="136"/>
      <c r="BP456" s="135"/>
      <c r="BQ456" s="147"/>
      <c r="BR456" s="135"/>
      <c r="BS456" s="135"/>
      <c r="BT456" s="135"/>
      <c r="BU456" s="135"/>
      <c r="BV456" s="135"/>
      <c r="BW456" s="135"/>
      <c r="BX456" s="135"/>
    </row>
    <row r="457" spans="3:76" x14ac:dyDescent="0.2">
      <c r="C457" s="370"/>
      <c r="AF457" s="143"/>
      <c r="AG457" s="143"/>
      <c r="AH457" s="143"/>
      <c r="AI457" s="143"/>
      <c r="AJ457" s="143"/>
      <c r="AK457" s="143"/>
      <c r="AL457" s="143"/>
      <c r="AM457" s="143"/>
      <c r="AN457" s="253" t="s">
        <v>63</v>
      </c>
      <c r="AO457" s="233"/>
      <c r="AP457" s="254" t="s">
        <v>64</v>
      </c>
      <c r="AQ457" s="255"/>
      <c r="AR457" s="256">
        <f>+AR448+AR453+AR456</f>
        <v>365701.20999999996</v>
      </c>
      <c r="AS457" s="194"/>
      <c r="AT457" s="194"/>
      <c r="AU457" s="135"/>
      <c r="AV457" s="143"/>
      <c r="BD457" s="152"/>
      <c r="BE457" s="148"/>
      <c r="BF457" s="206"/>
      <c r="BG457" s="194"/>
      <c r="BH457" s="144"/>
      <c r="BI457" s="194"/>
      <c r="BJ457" s="135"/>
      <c r="BK457" s="136"/>
      <c r="BL457" s="149"/>
      <c r="BM457" s="136"/>
      <c r="BN457" s="136"/>
      <c r="BO457" s="136"/>
      <c r="BP457" s="135"/>
      <c r="BQ457" s="147"/>
      <c r="BR457" s="135"/>
      <c r="BS457" s="135"/>
      <c r="BT457" s="135"/>
      <c r="BU457" s="135"/>
      <c r="BV457" s="135"/>
      <c r="BW457" s="135"/>
      <c r="BX457" s="135"/>
    </row>
    <row r="458" spans="3:76" x14ac:dyDescent="0.2">
      <c r="C458" s="371"/>
      <c r="AF458" s="143"/>
      <c r="AG458" s="143"/>
      <c r="AH458" s="143"/>
      <c r="AI458" s="143"/>
      <c r="AJ458" s="143"/>
      <c r="AK458" s="143"/>
      <c r="AL458" s="143"/>
      <c r="AM458" s="143"/>
      <c r="AN458" s="152"/>
      <c r="AO458" s="153"/>
      <c r="AP458" s="145"/>
      <c r="AQ458" s="145"/>
      <c r="AR458" s="145"/>
      <c r="AS458" s="154"/>
      <c r="AT458" s="154"/>
      <c r="AU458" s="135"/>
      <c r="AV458" s="143"/>
      <c r="BD458" s="152"/>
      <c r="BE458" s="148"/>
      <c r="BF458" s="206"/>
      <c r="BG458" s="194"/>
      <c r="BH458" s="144"/>
      <c r="BI458" s="194"/>
      <c r="BJ458" s="135"/>
      <c r="BK458" s="136"/>
      <c r="BL458" s="149"/>
      <c r="BM458" s="136"/>
      <c r="BN458" s="136"/>
      <c r="BO458" s="136"/>
      <c r="BP458" s="135"/>
      <c r="BQ458" s="147"/>
      <c r="BR458" s="135"/>
      <c r="BS458" s="135"/>
      <c r="BT458" s="135"/>
      <c r="BU458" s="135"/>
      <c r="BV458" s="135"/>
      <c r="BW458" s="135"/>
      <c r="BX458" s="135"/>
    </row>
    <row r="459" spans="3:76" x14ac:dyDescent="0.2">
      <c r="C459" s="371"/>
      <c r="AF459" s="143"/>
      <c r="AG459" s="143"/>
      <c r="AH459" s="143"/>
      <c r="AI459" s="143"/>
      <c r="AJ459" s="143"/>
      <c r="AK459" s="143"/>
      <c r="AL459" s="143"/>
      <c r="AM459" s="143"/>
      <c r="AN459" s="155" t="s">
        <v>399</v>
      </c>
      <c r="AO459" s="169"/>
      <c r="AP459" s="172"/>
      <c r="AQ459" s="172"/>
      <c r="AR459" s="173"/>
      <c r="AS459" s="154"/>
      <c r="AT459" s="154"/>
      <c r="AU459" s="135"/>
      <c r="AV459" s="143"/>
      <c r="BD459" s="152"/>
      <c r="BE459" s="148"/>
      <c r="BF459" s="206"/>
      <c r="BG459" s="194"/>
      <c r="BH459" s="144"/>
      <c r="BI459" s="194"/>
      <c r="BJ459" s="135"/>
      <c r="BK459" s="136"/>
      <c r="BL459" s="149"/>
      <c r="BM459" s="136"/>
      <c r="BN459" s="136"/>
      <c r="BO459" s="136"/>
      <c r="BP459" s="135"/>
      <c r="BQ459" s="147"/>
      <c r="BR459" s="135"/>
      <c r="BS459" s="135"/>
      <c r="BT459" s="135"/>
      <c r="BU459" s="135"/>
      <c r="BV459" s="135"/>
      <c r="BW459" s="135"/>
      <c r="BX459" s="135"/>
    </row>
    <row r="460" spans="3:76" x14ac:dyDescent="0.2">
      <c r="C460" s="371"/>
      <c r="AF460" s="143"/>
      <c r="AG460" s="143"/>
      <c r="AH460" s="143"/>
      <c r="AI460" s="143"/>
      <c r="AJ460" s="143"/>
      <c r="AK460" s="143"/>
      <c r="AL460" s="143"/>
      <c r="AM460" s="143"/>
      <c r="AN460" s="177" t="s">
        <v>413</v>
      </c>
      <c r="AO460" s="150"/>
      <c r="AP460" s="178"/>
      <c r="AQ460" s="149"/>
      <c r="AR460" s="179" t="str">
        <f>$G$86</f>
        <v>Un</v>
      </c>
      <c r="AS460" s="180">
        <f>$H$86</f>
        <v>1</v>
      </c>
      <c r="AT460" s="180"/>
      <c r="AU460" s="135"/>
      <c r="AV460" s="143"/>
      <c r="BD460" s="152"/>
      <c r="BE460" s="148"/>
      <c r="BF460" s="206"/>
      <c r="BG460" s="194"/>
      <c r="BH460" s="144"/>
      <c r="BI460" s="194"/>
      <c r="BJ460" s="135"/>
      <c r="BK460" s="136"/>
      <c r="BL460" s="149"/>
      <c r="BM460" s="136"/>
      <c r="BN460" s="136"/>
      <c r="BO460" s="136"/>
      <c r="BP460" s="135"/>
      <c r="BQ460" s="147"/>
      <c r="BR460" s="135"/>
      <c r="BS460" s="135"/>
      <c r="BT460" s="135"/>
      <c r="BU460" s="135"/>
      <c r="BV460" s="135"/>
      <c r="BW460" s="135"/>
      <c r="BX460" s="135"/>
    </row>
    <row r="461" spans="3:76" ht="16.5" thickBot="1" x14ac:dyDescent="0.25">
      <c r="C461" s="371"/>
      <c r="AF461" s="143"/>
      <c r="AG461" s="143"/>
      <c r="AH461" s="143"/>
      <c r="AI461" s="143"/>
      <c r="AJ461" s="143"/>
      <c r="AK461" s="143"/>
      <c r="AL461" s="143"/>
      <c r="AM461" s="143"/>
      <c r="AN461" s="183"/>
      <c r="AO461" s="184"/>
      <c r="AP461" s="185"/>
      <c r="AQ461" s="185"/>
      <c r="AR461" s="186"/>
      <c r="AU461" s="135"/>
      <c r="AV461" s="143"/>
      <c r="BD461" s="152"/>
      <c r="BE461" s="148"/>
      <c r="BF461" s="206"/>
      <c r="BG461" s="194"/>
      <c r="BH461" s="144"/>
      <c r="BI461" s="194"/>
      <c r="BJ461" s="135"/>
      <c r="BK461" s="136"/>
      <c r="BL461" s="149"/>
      <c r="BM461" s="136"/>
      <c r="BN461" s="136"/>
      <c r="BO461" s="136"/>
      <c r="BP461" s="135"/>
      <c r="BQ461" s="147"/>
      <c r="BR461" s="135"/>
      <c r="BS461" s="135"/>
      <c r="BT461" s="135"/>
      <c r="BU461" s="135"/>
      <c r="BV461" s="135"/>
      <c r="BW461" s="135"/>
      <c r="BX461" s="135"/>
    </row>
    <row r="462" spans="3:76" ht="16.5" thickTop="1" x14ac:dyDescent="0.2">
      <c r="C462" s="372"/>
      <c r="AF462" s="143"/>
      <c r="AG462" s="143"/>
      <c r="AH462" s="143"/>
      <c r="AI462" s="143"/>
      <c r="AJ462" s="143"/>
      <c r="AK462" s="143"/>
      <c r="AL462" s="143"/>
      <c r="AM462" s="143"/>
      <c r="AN462" s="191" t="s">
        <v>31</v>
      </c>
      <c r="AO462" s="192" t="s">
        <v>32</v>
      </c>
      <c r="AP462" s="192" t="s">
        <v>33</v>
      </c>
      <c r="AQ462" s="192" t="s">
        <v>1</v>
      </c>
      <c r="AR462" s="192" t="s">
        <v>34</v>
      </c>
      <c r="AS462" s="193" t="s">
        <v>76</v>
      </c>
      <c r="AT462" s="153"/>
      <c r="AU462" s="135"/>
      <c r="AV462" s="143"/>
      <c r="BD462" s="152"/>
      <c r="BE462" s="148"/>
      <c r="BF462" s="206"/>
      <c r="BG462" s="194"/>
      <c r="BH462" s="144"/>
      <c r="BI462" s="194"/>
      <c r="BJ462" s="135"/>
      <c r="BK462" s="136"/>
      <c r="BL462" s="149"/>
      <c r="BM462" s="136"/>
      <c r="BN462" s="136"/>
      <c r="BO462" s="136"/>
      <c r="BP462" s="135"/>
      <c r="BQ462" s="147"/>
      <c r="BR462" s="135"/>
      <c r="BS462" s="135"/>
      <c r="BT462" s="135"/>
      <c r="BU462" s="135"/>
      <c r="BV462" s="135"/>
      <c r="BW462" s="135"/>
      <c r="BX462" s="135"/>
    </row>
    <row r="463" spans="3:76" x14ac:dyDescent="0.2">
      <c r="AF463" s="143"/>
      <c r="AG463" s="143"/>
      <c r="AH463" s="143"/>
      <c r="AI463" s="143"/>
      <c r="AJ463" s="143"/>
      <c r="AK463" s="143"/>
      <c r="AL463" s="143"/>
      <c r="AM463" s="143"/>
      <c r="AN463" s="197" t="s">
        <v>37</v>
      </c>
      <c r="AO463" s="198"/>
      <c r="AP463" s="199"/>
      <c r="AQ463" s="199"/>
      <c r="AR463" s="200"/>
      <c r="AS463" s="201"/>
      <c r="AT463" s="194"/>
      <c r="AU463" s="135"/>
      <c r="AV463" s="143"/>
      <c r="BD463" s="152"/>
      <c r="BE463" s="148"/>
      <c r="BF463" s="206"/>
      <c r="BG463" s="194"/>
      <c r="BH463" s="144"/>
      <c r="BI463" s="194"/>
      <c r="BJ463" s="135"/>
      <c r="BK463" s="136"/>
      <c r="BL463" s="149"/>
      <c r="BM463" s="136"/>
      <c r="BN463" s="136"/>
      <c r="BO463" s="136"/>
      <c r="BP463" s="135"/>
      <c r="BQ463" s="147"/>
      <c r="BR463" s="135"/>
      <c r="BS463" s="135"/>
      <c r="BT463" s="135"/>
      <c r="BU463" s="135"/>
      <c r="BV463" s="135"/>
      <c r="BW463" s="135"/>
      <c r="BX463" s="135"/>
    </row>
    <row r="464" spans="3:76" x14ac:dyDescent="0.2">
      <c r="AF464" s="143"/>
      <c r="AG464" s="143"/>
      <c r="AH464" s="143"/>
      <c r="AI464" s="143"/>
      <c r="AJ464" s="143"/>
      <c r="AK464" s="143"/>
      <c r="AL464" s="143"/>
      <c r="AM464" s="143"/>
      <c r="AN464" s="216" t="s">
        <v>413</v>
      </c>
      <c r="AO464" s="213" t="s">
        <v>28</v>
      </c>
      <c r="AP464" s="214">
        <v>1</v>
      </c>
      <c r="AQ464" s="214">
        <v>360006.64467567572</v>
      </c>
      <c r="AR464" s="215">
        <f>+ROUND(AP464*AQ464,2)</f>
        <v>360006.64</v>
      </c>
      <c r="AS464" s="201"/>
      <c r="AT464" s="194"/>
      <c r="AU464" s="135"/>
      <c r="AV464" s="143"/>
      <c r="BD464" s="152"/>
      <c r="BE464" s="148"/>
      <c r="BF464" s="206"/>
      <c r="BG464" s="194"/>
      <c r="BH464" s="144"/>
      <c r="BI464" s="194"/>
      <c r="BJ464" s="135"/>
      <c r="BK464" s="136"/>
      <c r="BL464" s="149"/>
      <c r="BM464" s="136"/>
      <c r="BN464" s="136"/>
      <c r="BO464" s="136"/>
      <c r="BP464" s="135"/>
      <c r="BQ464" s="147"/>
      <c r="BR464" s="135"/>
      <c r="BS464" s="135"/>
      <c r="BT464" s="135"/>
      <c r="BU464" s="135"/>
      <c r="BV464" s="135"/>
      <c r="BW464" s="135"/>
      <c r="BX464" s="135"/>
    </row>
    <row r="465" spans="14:76" x14ac:dyDescent="0.2">
      <c r="AF465" s="143"/>
      <c r="AG465" s="143"/>
      <c r="AH465" s="143"/>
      <c r="AI465" s="143"/>
      <c r="AJ465" s="143"/>
      <c r="AK465" s="143"/>
      <c r="AL465" s="143"/>
      <c r="AM465" s="143"/>
      <c r="AN465" s="216" t="s">
        <v>323</v>
      </c>
      <c r="AO465" s="213" t="s">
        <v>28</v>
      </c>
      <c r="AP465" s="214">
        <v>1</v>
      </c>
      <c r="AQ465" s="214">
        <v>10800.199200000001</v>
      </c>
      <c r="AR465" s="215">
        <f>+ROUND(AP465*AQ465,2)</f>
        <v>10800.2</v>
      </c>
      <c r="AS465" s="201"/>
      <c r="AT465" s="194"/>
      <c r="AU465" s="135"/>
      <c r="AV465" s="143"/>
      <c r="BD465" s="152"/>
      <c r="BE465" s="148"/>
      <c r="BF465" s="206"/>
      <c r="BG465" s="194"/>
      <c r="BH465" s="144"/>
      <c r="BI465" s="194"/>
      <c r="BJ465" s="135"/>
      <c r="BK465" s="136"/>
      <c r="BL465" s="149"/>
      <c r="BM465" s="136"/>
      <c r="BN465" s="136"/>
      <c r="BO465" s="136"/>
      <c r="BP465" s="135"/>
      <c r="BQ465" s="147"/>
      <c r="BR465" s="135"/>
      <c r="BS465" s="135"/>
      <c r="BT465" s="135"/>
      <c r="BU465" s="135"/>
      <c r="BV465" s="135"/>
      <c r="BW465" s="135"/>
      <c r="BX465" s="135"/>
    </row>
    <row r="466" spans="14:76" x14ac:dyDescent="0.2">
      <c r="AF466" s="143"/>
      <c r="AG466" s="143"/>
      <c r="AH466" s="143"/>
      <c r="AI466" s="143"/>
      <c r="AJ466" s="143"/>
      <c r="AK466" s="143"/>
      <c r="AL466" s="143"/>
      <c r="AM466" s="143"/>
      <c r="AN466" s="224" t="s">
        <v>50</v>
      </c>
      <c r="AO466" s="225" t="s">
        <v>28</v>
      </c>
      <c r="AP466" s="226">
        <v>0.03</v>
      </c>
      <c r="AQ466" s="219">
        <v>370806.84</v>
      </c>
      <c r="AR466" s="215">
        <f>+ROUND(AP466*AQ466,2)</f>
        <v>11124.21</v>
      </c>
      <c r="AS466" s="201"/>
      <c r="AT466" s="194"/>
      <c r="AU466" s="135"/>
      <c r="AV466" s="143"/>
      <c r="BD466" s="152"/>
      <c r="BE466" s="148"/>
      <c r="BF466" s="206"/>
      <c r="BG466" s="194"/>
      <c r="BH466" s="144"/>
      <c r="BI466" s="194"/>
      <c r="BJ466" s="135"/>
      <c r="BK466" s="136"/>
      <c r="BL466" s="149"/>
      <c r="BM466" s="136"/>
      <c r="BN466" s="136"/>
      <c r="BO466" s="136"/>
      <c r="BP466" s="135"/>
      <c r="BQ466" s="147"/>
      <c r="BR466" s="135"/>
      <c r="BS466" s="135"/>
      <c r="BT466" s="135"/>
      <c r="BU466" s="135"/>
      <c r="BV466" s="135"/>
      <c r="BW466" s="135"/>
      <c r="BX466" s="135"/>
    </row>
    <row r="467" spans="14:76" x14ac:dyDescent="0.2">
      <c r="AF467" s="143"/>
      <c r="AG467" s="143"/>
      <c r="AH467" s="143"/>
      <c r="AI467" s="143"/>
      <c r="AJ467" s="143"/>
      <c r="AK467" s="143"/>
      <c r="AL467" s="143"/>
      <c r="AM467" s="143"/>
      <c r="AN467" s="232" t="s">
        <v>51</v>
      </c>
      <c r="AO467" s="233"/>
      <c r="AP467" s="234"/>
      <c r="AQ467" s="234"/>
      <c r="AR467" s="235">
        <f>SUM(AR464:AR466)</f>
        <v>381931.05000000005</v>
      </c>
      <c r="AS467" s="235"/>
      <c r="AU467" s="135"/>
      <c r="AV467" s="143"/>
      <c r="BD467" s="152"/>
      <c r="BE467" s="148"/>
      <c r="BF467" s="206"/>
      <c r="BG467" s="194"/>
      <c r="BH467" s="144"/>
      <c r="BI467" s="194"/>
      <c r="BJ467" s="135"/>
      <c r="BK467" s="136"/>
      <c r="BL467" s="149"/>
      <c r="BM467" s="136"/>
      <c r="BN467" s="136"/>
      <c r="BO467" s="136"/>
      <c r="BP467" s="135"/>
      <c r="BQ467" s="147"/>
      <c r="BR467" s="135"/>
      <c r="BS467" s="135"/>
      <c r="BT467" s="135"/>
      <c r="BU467" s="135"/>
      <c r="BV467" s="135"/>
      <c r="BW467" s="135"/>
      <c r="BX467" s="135"/>
    </row>
    <row r="468" spans="14:76" x14ac:dyDescent="0.2">
      <c r="AF468" s="143"/>
      <c r="AG468" s="143"/>
      <c r="AH468" s="143"/>
      <c r="AI468" s="143"/>
      <c r="AJ468" s="143"/>
      <c r="AK468" s="143"/>
      <c r="AL468" s="143"/>
      <c r="AM468" s="143"/>
      <c r="AN468" s="197" t="s">
        <v>53</v>
      </c>
      <c r="AO468" s="198"/>
      <c r="AP468" s="199"/>
      <c r="AQ468" s="199"/>
      <c r="AR468" s="200"/>
      <c r="AS468" s="153"/>
      <c r="AT468" s="153"/>
      <c r="AU468" s="135"/>
      <c r="AV468" s="143"/>
      <c r="BD468" s="152"/>
      <c r="BE468" s="148"/>
      <c r="BF468" s="206"/>
      <c r="BG468" s="194"/>
      <c r="BH468" s="144"/>
      <c r="BI468" s="194"/>
      <c r="BJ468" s="135"/>
      <c r="BK468" s="136"/>
      <c r="BL468" s="149"/>
      <c r="BM468" s="136"/>
      <c r="BN468" s="136"/>
      <c r="BO468" s="136"/>
      <c r="BP468" s="135"/>
      <c r="BQ468" s="369"/>
      <c r="BR468" s="135"/>
      <c r="BS468" s="135"/>
      <c r="BT468" s="135"/>
      <c r="BU468" s="135"/>
      <c r="BV468" s="135"/>
      <c r="BW468" s="135"/>
      <c r="BX468" s="135"/>
    </row>
    <row r="469" spans="14:76" x14ac:dyDescent="0.2">
      <c r="N469" s="370"/>
      <c r="AF469" s="143"/>
      <c r="AG469" s="143"/>
      <c r="AH469" s="143"/>
      <c r="AI469" s="143"/>
      <c r="AJ469" s="143"/>
      <c r="AK469" s="143"/>
      <c r="AL469" s="143"/>
      <c r="AM469" s="143"/>
      <c r="AN469" s="224" t="s">
        <v>54</v>
      </c>
      <c r="AO469" s="225" t="s">
        <v>55</v>
      </c>
      <c r="AP469" s="226">
        <v>4</v>
      </c>
      <c r="AQ469" s="226">
        <v>1600.8</v>
      </c>
      <c r="AR469" s="215">
        <f>+ROUND(AP469*AQ469,2)</f>
        <v>6403.2</v>
      </c>
      <c r="AS469" s="194"/>
      <c r="AT469" s="194"/>
      <c r="AU469" s="135"/>
      <c r="AV469" s="143"/>
      <c r="BD469" s="152"/>
      <c r="BE469" s="148"/>
      <c r="BF469" s="206"/>
      <c r="BG469" s="194"/>
      <c r="BH469" s="144"/>
      <c r="BI469" s="194"/>
      <c r="BJ469" s="135"/>
      <c r="BK469" s="136"/>
      <c r="BL469" s="149"/>
      <c r="BM469" s="136"/>
      <c r="BN469" s="136"/>
      <c r="BO469" s="136"/>
      <c r="BP469" s="135"/>
      <c r="BQ469" s="369"/>
      <c r="BR469" s="135"/>
      <c r="BS469" s="135"/>
      <c r="BT469" s="135"/>
      <c r="BU469" s="135"/>
      <c r="BV469" s="135"/>
      <c r="BW469" s="135"/>
      <c r="BX469" s="135"/>
    </row>
    <row r="470" spans="14:76" x14ac:dyDescent="0.2">
      <c r="N470" s="371"/>
      <c r="AF470" s="143"/>
      <c r="AG470" s="143"/>
      <c r="AH470" s="143"/>
      <c r="AI470" s="143"/>
      <c r="AJ470" s="143"/>
      <c r="AK470" s="143"/>
      <c r="AL470" s="143"/>
      <c r="AM470" s="143"/>
      <c r="AN470" s="224" t="s">
        <v>56</v>
      </c>
      <c r="AO470" s="225" t="s">
        <v>55</v>
      </c>
      <c r="AP470" s="226">
        <v>2</v>
      </c>
      <c r="AQ470" s="226">
        <v>1354.6999999999998</v>
      </c>
      <c r="AR470" s="215">
        <f>+ROUND(AP470*AQ470,2)</f>
        <v>2709.4</v>
      </c>
      <c r="AS470" s="194"/>
      <c r="AT470" s="194"/>
      <c r="AU470" s="135"/>
      <c r="AV470" s="143"/>
      <c r="BD470" s="152"/>
      <c r="BE470" s="148"/>
      <c r="BF470" s="206"/>
      <c r="BG470" s="194"/>
      <c r="BH470" s="144"/>
      <c r="BI470" s="194"/>
      <c r="BJ470" s="135"/>
      <c r="BK470" s="136"/>
      <c r="BL470" s="149"/>
      <c r="BM470" s="136"/>
      <c r="BN470" s="136"/>
      <c r="BO470" s="136"/>
      <c r="BP470" s="135"/>
      <c r="BQ470" s="365"/>
      <c r="BR470" s="135"/>
      <c r="BS470" s="135"/>
      <c r="BT470" s="135"/>
      <c r="BU470" s="135"/>
      <c r="BV470" s="135"/>
      <c r="BW470" s="135"/>
      <c r="BX470" s="135"/>
    </row>
    <row r="471" spans="14:76" x14ac:dyDescent="0.2">
      <c r="N471" s="371"/>
      <c r="AF471" s="143"/>
      <c r="AG471" s="143"/>
      <c r="AH471" s="143"/>
      <c r="AI471" s="143"/>
      <c r="AJ471" s="143"/>
      <c r="AK471" s="143"/>
      <c r="AL471" s="143"/>
      <c r="AM471" s="143"/>
      <c r="AN471" s="248"/>
      <c r="AO471" s="249"/>
      <c r="AP471" s="219"/>
      <c r="AQ471" s="219"/>
      <c r="AR471" s="215"/>
      <c r="AS471" s="194"/>
      <c r="AT471" s="194"/>
      <c r="AU471" s="135"/>
      <c r="AV471" s="143"/>
      <c r="BD471" s="152"/>
      <c r="BE471" s="148"/>
      <c r="BF471" s="206"/>
      <c r="BG471" s="194"/>
      <c r="BH471" s="144"/>
      <c r="BI471" s="194"/>
      <c r="BJ471" s="135"/>
      <c r="BK471" s="136"/>
      <c r="BL471" s="149"/>
      <c r="BM471" s="136"/>
      <c r="BN471" s="136"/>
      <c r="BO471" s="136"/>
      <c r="BP471" s="135"/>
      <c r="BQ471" s="365"/>
      <c r="BR471" s="135"/>
      <c r="BS471" s="135"/>
      <c r="BT471" s="135"/>
      <c r="BU471" s="135"/>
      <c r="BV471" s="135"/>
      <c r="BW471" s="135"/>
      <c r="BX471" s="135"/>
    </row>
    <row r="472" spans="14:76" x14ac:dyDescent="0.2">
      <c r="N472" s="371"/>
      <c r="AF472" s="143"/>
      <c r="AG472" s="135"/>
      <c r="AH472" s="135"/>
      <c r="AI472" s="135"/>
      <c r="AJ472" s="135"/>
      <c r="AK472" s="135"/>
      <c r="AL472" s="135"/>
      <c r="AM472" s="135"/>
      <c r="AN472" s="232" t="s">
        <v>57</v>
      </c>
      <c r="AO472" s="233"/>
      <c r="AP472" s="234"/>
      <c r="AQ472" s="234"/>
      <c r="AR472" s="235">
        <f>SUM(AR469:AR471)</f>
        <v>9112.6</v>
      </c>
      <c r="AS472" s="138">
        <f>+AR472/AR467</f>
        <v>2.3859280359635592E-2</v>
      </c>
      <c r="AU472" s="135"/>
      <c r="AV472" s="143"/>
      <c r="BD472" s="152"/>
      <c r="BE472" s="148"/>
      <c r="BF472" s="206"/>
      <c r="BG472" s="194"/>
      <c r="BH472" s="144"/>
      <c r="BI472" s="194"/>
      <c r="BJ472" s="135"/>
      <c r="BK472" s="136"/>
      <c r="BL472" s="149"/>
      <c r="BM472" s="136"/>
      <c r="BN472" s="136"/>
      <c r="BO472" s="136"/>
      <c r="BP472" s="135"/>
      <c r="BQ472" s="365"/>
      <c r="BR472" s="135"/>
      <c r="BS472" s="135"/>
      <c r="BT472" s="135"/>
      <c r="BU472" s="135"/>
      <c r="BV472" s="135"/>
      <c r="BW472" s="135"/>
      <c r="BX472" s="135"/>
    </row>
    <row r="473" spans="14:76" x14ac:dyDescent="0.2">
      <c r="N473" s="371"/>
      <c r="AF473" s="135"/>
      <c r="AG473" s="135"/>
      <c r="AH473" s="135"/>
      <c r="AI473" s="135"/>
      <c r="AJ473" s="135"/>
      <c r="AK473" s="135"/>
      <c r="AL473" s="135"/>
      <c r="AM473" s="135"/>
      <c r="AN473" s="197" t="s">
        <v>58</v>
      </c>
      <c r="AO473" s="198"/>
      <c r="AP473" s="199"/>
      <c r="AQ473" s="199"/>
      <c r="AR473" s="200"/>
      <c r="AS473" s="153"/>
      <c r="AT473" s="153"/>
      <c r="AU473" s="135"/>
      <c r="AV473" s="143"/>
      <c r="BD473" s="152"/>
      <c r="BE473" s="148"/>
      <c r="BF473" s="206"/>
      <c r="BG473" s="194"/>
      <c r="BH473" s="144"/>
      <c r="BI473" s="194"/>
      <c r="BJ473" s="135"/>
      <c r="BK473" s="136"/>
      <c r="BL473" s="149"/>
      <c r="BM473" s="136"/>
      <c r="BN473" s="136"/>
      <c r="BO473" s="136"/>
      <c r="BP473" s="135"/>
      <c r="BQ473" s="365"/>
      <c r="BR473" s="135"/>
      <c r="BS473" s="135"/>
      <c r="BT473" s="135"/>
      <c r="BU473" s="135"/>
      <c r="BV473" s="135"/>
      <c r="BW473" s="135"/>
      <c r="BX473" s="135"/>
    </row>
    <row r="474" spans="14:76" x14ac:dyDescent="0.2">
      <c r="N474" s="371"/>
      <c r="AF474" s="135"/>
      <c r="AG474" s="135"/>
      <c r="AH474" s="135"/>
      <c r="AI474" s="135"/>
      <c r="AJ474" s="135"/>
      <c r="AK474" s="135"/>
      <c r="AL474" s="135"/>
      <c r="AM474" s="135"/>
      <c r="AN474" s="252" t="s">
        <v>59</v>
      </c>
      <c r="AO474" s="213" t="s">
        <v>60</v>
      </c>
      <c r="AP474" s="226">
        <v>230</v>
      </c>
      <c r="AQ474" s="226">
        <v>1.9600688000000004</v>
      </c>
      <c r="AR474" s="215">
        <f>+ROUND(AP474*AQ474,2)</f>
        <v>450.82</v>
      </c>
      <c r="AS474" s="194"/>
      <c r="AT474" s="194"/>
      <c r="AU474" s="135"/>
      <c r="AV474" s="143"/>
      <c r="BD474" s="152"/>
      <c r="BE474" s="148"/>
      <c r="BF474" s="206"/>
      <c r="BG474" s="194"/>
      <c r="BH474" s="144"/>
      <c r="BI474" s="194"/>
      <c r="BJ474" s="135"/>
      <c r="BK474" s="136"/>
      <c r="BL474" s="149"/>
      <c r="BM474" s="136"/>
      <c r="BN474" s="136"/>
      <c r="BO474" s="136"/>
      <c r="BP474" s="135"/>
      <c r="BQ474" s="374"/>
      <c r="BR474" s="135"/>
      <c r="BS474" s="135"/>
      <c r="BT474" s="135"/>
      <c r="BU474" s="135"/>
      <c r="BV474" s="135"/>
      <c r="BW474" s="135"/>
      <c r="BX474" s="135"/>
    </row>
    <row r="475" spans="14:76" x14ac:dyDescent="0.2">
      <c r="N475" s="371"/>
      <c r="AF475" s="135"/>
      <c r="AG475" s="135"/>
      <c r="AH475" s="135"/>
      <c r="AI475" s="135"/>
      <c r="AJ475" s="135"/>
      <c r="AK475" s="135"/>
      <c r="AL475" s="135"/>
      <c r="AM475" s="135"/>
      <c r="AN475" s="202" t="s">
        <v>62</v>
      </c>
      <c r="AO475" s="250"/>
      <c r="AP475" s="168"/>
      <c r="AQ475" s="168"/>
      <c r="AR475" s="251">
        <f>SUM(AR474:AR474)</f>
        <v>450.82</v>
      </c>
      <c r="AS475" s="194"/>
      <c r="AT475" s="194"/>
      <c r="AU475" s="135"/>
      <c r="AV475" s="143"/>
      <c r="BD475" s="152"/>
      <c r="BE475" s="148"/>
      <c r="BF475" s="206"/>
      <c r="BG475" s="194"/>
      <c r="BH475" s="144"/>
      <c r="BI475" s="194"/>
      <c r="BJ475" s="135"/>
      <c r="BK475" s="136"/>
      <c r="BL475" s="149"/>
      <c r="BM475" s="136"/>
      <c r="BN475" s="136"/>
      <c r="BO475" s="136"/>
      <c r="BP475" s="135"/>
      <c r="BQ475" s="374"/>
      <c r="BR475" s="135"/>
      <c r="BS475" s="135"/>
      <c r="BT475" s="135"/>
      <c r="BU475" s="135"/>
      <c r="BV475" s="135"/>
      <c r="BW475" s="135"/>
      <c r="BX475" s="135"/>
    </row>
    <row r="476" spans="14:76" x14ac:dyDescent="0.2">
      <c r="N476" s="371"/>
      <c r="AF476" s="135"/>
      <c r="AG476" s="135"/>
      <c r="AH476" s="135"/>
      <c r="AI476" s="135"/>
      <c r="AJ476" s="135"/>
      <c r="AK476" s="135"/>
      <c r="AL476" s="135"/>
      <c r="AM476" s="135"/>
      <c r="AN476" s="253" t="s">
        <v>63</v>
      </c>
      <c r="AO476" s="233"/>
      <c r="AP476" s="254" t="s">
        <v>64</v>
      </c>
      <c r="AQ476" s="255"/>
      <c r="AR476" s="256">
        <f>+AR467+AR472+AR475</f>
        <v>391494.47000000003</v>
      </c>
      <c r="AS476" s="194"/>
      <c r="AT476" s="194"/>
      <c r="AU476" s="135"/>
      <c r="AV476" s="143"/>
      <c r="BD476" s="152"/>
      <c r="BE476" s="148"/>
      <c r="BF476" s="206"/>
      <c r="BG476" s="194"/>
      <c r="BH476" s="144"/>
      <c r="BI476" s="194"/>
      <c r="BJ476" s="135"/>
      <c r="BK476" s="136"/>
      <c r="BL476" s="149"/>
      <c r="BM476" s="136"/>
      <c r="BN476" s="136"/>
      <c r="BO476" s="136"/>
      <c r="BP476" s="135"/>
      <c r="BQ476" s="374"/>
      <c r="BR476" s="135"/>
      <c r="BS476" s="135"/>
      <c r="BT476" s="135"/>
      <c r="BU476" s="135"/>
      <c r="BV476" s="135"/>
      <c r="BW476" s="135"/>
      <c r="BX476" s="135"/>
    </row>
    <row r="477" spans="14:76" x14ac:dyDescent="0.2">
      <c r="N477" s="371"/>
      <c r="AF477" s="135"/>
      <c r="AG477" s="135"/>
      <c r="AH477" s="135"/>
      <c r="AI477" s="135"/>
      <c r="AJ477" s="135"/>
      <c r="AK477" s="135"/>
      <c r="AL477" s="135"/>
      <c r="AM477" s="135"/>
      <c r="AN477" s="152"/>
      <c r="AO477" s="153"/>
      <c r="AP477" s="145"/>
      <c r="AQ477" s="145"/>
      <c r="AR477" s="145"/>
      <c r="AS477" s="154"/>
      <c r="AT477" s="154"/>
      <c r="AU477" s="135"/>
      <c r="AV477" s="143"/>
      <c r="BD477" s="152"/>
      <c r="BE477" s="148"/>
      <c r="BF477" s="206"/>
      <c r="BG477" s="194"/>
      <c r="BH477" s="144"/>
      <c r="BI477" s="194"/>
      <c r="BJ477" s="135"/>
      <c r="BK477" s="136"/>
      <c r="BL477" s="149"/>
      <c r="BM477" s="136"/>
      <c r="BN477" s="136"/>
      <c r="BO477" s="136"/>
      <c r="BP477" s="135"/>
      <c r="BQ477" s="374"/>
      <c r="BR477" s="135"/>
      <c r="BS477" s="135"/>
      <c r="BT477" s="135"/>
      <c r="BU477" s="135"/>
      <c r="BV477" s="135"/>
      <c r="BW477" s="135"/>
      <c r="BX477" s="135"/>
    </row>
    <row r="478" spans="14:76" x14ac:dyDescent="0.2">
      <c r="N478" s="371"/>
      <c r="AF478" s="135"/>
      <c r="AG478" s="135"/>
      <c r="AH478" s="135"/>
      <c r="AI478" s="135"/>
      <c r="AJ478" s="135"/>
      <c r="AK478" s="135"/>
      <c r="AL478" s="135"/>
      <c r="AM478" s="135"/>
      <c r="AN478" s="155" t="s">
        <v>399</v>
      </c>
      <c r="AO478" s="169"/>
      <c r="AP478" s="172"/>
      <c r="AQ478" s="172"/>
      <c r="AR478" s="173"/>
      <c r="AS478" s="154"/>
      <c r="AT478" s="154"/>
      <c r="AU478" s="135"/>
      <c r="AV478" s="143"/>
      <c r="BD478" s="152"/>
      <c r="BE478" s="148"/>
      <c r="BF478" s="206"/>
      <c r="BG478" s="194"/>
      <c r="BH478" s="144"/>
      <c r="BI478" s="194"/>
      <c r="BJ478" s="135"/>
      <c r="BK478" s="136"/>
      <c r="BL478" s="149"/>
      <c r="BM478" s="136"/>
      <c r="BN478" s="136"/>
      <c r="BO478" s="136"/>
      <c r="BP478" s="135"/>
      <c r="BQ478" s="147"/>
      <c r="BR478" s="135"/>
      <c r="BS478" s="135"/>
      <c r="BT478" s="135"/>
      <c r="BU478" s="135"/>
      <c r="BV478" s="135"/>
      <c r="BW478" s="135"/>
      <c r="BX478" s="135"/>
    </row>
    <row r="479" spans="14:76" x14ac:dyDescent="0.2">
      <c r="N479" s="371"/>
      <c r="AF479" s="135"/>
      <c r="AG479" s="135"/>
      <c r="AH479" s="135"/>
      <c r="AI479" s="135"/>
      <c r="AJ479" s="135"/>
      <c r="AK479" s="135"/>
      <c r="AL479" s="135"/>
      <c r="AM479" s="135"/>
      <c r="AN479" s="177" t="s">
        <v>414</v>
      </c>
      <c r="AO479" s="150"/>
      <c r="AP479" s="178"/>
      <c r="AQ479" s="149"/>
      <c r="AR479" s="179" t="str">
        <f>$G$87</f>
        <v>Un</v>
      </c>
      <c r="AS479" s="180">
        <f>$H$87</f>
        <v>8</v>
      </c>
      <c r="AT479" s="180"/>
      <c r="AU479" s="135"/>
      <c r="AV479" s="143"/>
      <c r="BD479" s="152"/>
      <c r="BE479" s="148"/>
      <c r="BF479" s="206"/>
      <c r="BG479" s="194"/>
      <c r="BH479" s="144"/>
      <c r="BI479" s="194"/>
      <c r="BJ479" s="135"/>
      <c r="BK479" s="136"/>
      <c r="BL479" s="149"/>
      <c r="BM479" s="136"/>
      <c r="BN479" s="136"/>
      <c r="BO479" s="136"/>
      <c r="BP479" s="135"/>
      <c r="BQ479" s="147"/>
      <c r="BR479" s="135"/>
      <c r="BS479" s="135"/>
      <c r="BT479" s="135"/>
      <c r="BU479" s="135"/>
      <c r="BV479" s="135"/>
      <c r="BW479" s="135"/>
      <c r="BX479" s="135"/>
    </row>
    <row r="480" spans="14:76" ht="16.5" thickBot="1" x14ac:dyDescent="0.25">
      <c r="N480" s="371"/>
      <c r="AF480" s="135"/>
      <c r="AG480" s="135"/>
      <c r="AH480" s="135"/>
      <c r="AI480" s="135"/>
      <c r="AJ480" s="135"/>
      <c r="AK480" s="135"/>
      <c r="AL480" s="135"/>
      <c r="AM480" s="135"/>
      <c r="AN480" s="183"/>
      <c r="AO480" s="184"/>
      <c r="AP480" s="185"/>
      <c r="AQ480" s="185"/>
      <c r="AR480" s="186"/>
      <c r="AU480" s="135"/>
      <c r="AV480" s="143"/>
      <c r="BD480" s="152"/>
      <c r="BE480" s="148"/>
      <c r="BF480" s="206"/>
      <c r="BG480" s="194"/>
      <c r="BH480" s="144"/>
      <c r="BI480" s="194"/>
      <c r="BJ480" s="135"/>
      <c r="BK480" s="136"/>
      <c r="BL480" s="149"/>
      <c r="BM480" s="136"/>
      <c r="BN480" s="136"/>
      <c r="BO480" s="136"/>
      <c r="BP480" s="135"/>
      <c r="BQ480" s="147"/>
      <c r="BR480" s="135"/>
      <c r="BS480" s="135"/>
      <c r="BT480" s="135"/>
      <c r="BU480" s="135"/>
      <c r="BV480" s="135"/>
      <c r="BW480" s="135"/>
      <c r="BX480" s="135"/>
    </row>
    <row r="481" spans="14:76" ht="16.5" thickTop="1" x14ac:dyDescent="0.2">
      <c r="N481" s="371"/>
      <c r="AF481" s="135"/>
      <c r="AG481" s="135"/>
      <c r="AH481" s="135"/>
      <c r="AI481" s="135"/>
      <c r="AJ481" s="135"/>
      <c r="AK481" s="135"/>
      <c r="AL481" s="135"/>
      <c r="AM481" s="135"/>
      <c r="AN481" s="191" t="s">
        <v>31</v>
      </c>
      <c r="AO481" s="192" t="s">
        <v>32</v>
      </c>
      <c r="AP481" s="192" t="s">
        <v>33</v>
      </c>
      <c r="AQ481" s="192" t="s">
        <v>1</v>
      </c>
      <c r="AR481" s="192" t="s">
        <v>34</v>
      </c>
      <c r="AS481" s="193" t="s">
        <v>76</v>
      </c>
      <c r="AT481" s="153"/>
      <c r="AU481" s="135"/>
      <c r="AV481" s="143"/>
      <c r="BD481" s="152"/>
      <c r="BE481" s="148"/>
      <c r="BF481" s="206"/>
      <c r="BG481" s="194"/>
      <c r="BH481" s="144"/>
      <c r="BI481" s="194"/>
      <c r="BJ481" s="135"/>
      <c r="BK481" s="136"/>
      <c r="BL481" s="149"/>
      <c r="BM481" s="136"/>
      <c r="BN481" s="136"/>
      <c r="BO481" s="136"/>
      <c r="BP481" s="135"/>
      <c r="BQ481" s="147"/>
      <c r="BR481" s="135"/>
      <c r="BS481" s="135"/>
      <c r="BT481" s="135"/>
      <c r="BU481" s="135"/>
      <c r="BV481" s="135"/>
      <c r="BW481" s="135"/>
      <c r="BX481" s="135"/>
    </row>
    <row r="482" spans="14:76" x14ac:dyDescent="0.2">
      <c r="N482" s="371"/>
      <c r="AF482" s="135"/>
      <c r="AG482" s="135"/>
      <c r="AH482" s="135"/>
      <c r="AI482" s="135"/>
      <c r="AJ482" s="135"/>
      <c r="AK482" s="135"/>
      <c r="AL482" s="135"/>
      <c r="AM482" s="135"/>
      <c r="AN482" s="197" t="s">
        <v>37</v>
      </c>
      <c r="AO482" s="198"/>
      <c r="AP482" s="199"/>
      <c r="AQ482" s="199"/>
      <c r="AR482" s="200"/>
      <c r="AS482" s="201"/>
      <c r="AT482" s="194"/>
      <c r="AU482" s="135"/>
      <c r="AV482" s="143"/>
      <c r="BD482" s="152"/>
      <c r="BE482" s="148"/>
      <c r="BF482" s="206"/>
      <c r="BG482" s="194"/>
      <c r="BH482" s="144"/>
      <c r="BI482" s="194"/>
      <c r="BJ482" s="135"/>
      <c r="BK482" s="136"/>
      <c r="BM482" s="176"/>
      <c r="BN482" s="267"/>
      <c r="BO482" s="136"/>
      <c r="BP482" s="135"/>
      <c r="BQ482" s="147"/>
      <c r="BR482" s="135"/>
      <c r="BS482" s="135"/>
      <c r="BT482" s="135"/>
      <c r="BU482" s="135"/>
      <c r="BV482" s="135"/>
      <c r="BW482" s="135"/>
      <c r="BX482" s="135"/>
    </row>
    <row r="483" spans="14:76" x14ac:dyDescent="0.2">
      <c r="N483" s="371"/>
      <c r="AF483" s="135"/>
      <c r="AG483" s="135"/>
      <c r="AH483" s="135"/>
      <c r="AI483" s="135"/>
      <c r="AJ483" s="135"/>
      <c r="AK483" s="135"/>
      <c r="AL483" s="135"/>
      <c r="AM483" s="135"/>
      <c r="AN483" s="216" t="s">
        <v>414</v>
      </c>
      <c r="AO483" s="213" t="s">
        <v>28</v>
      </c>
      <c r="AP483" s="214">
        <v>1</v>
      </c>
      <c r="AQ483" s="214">
        <v>128508.70101081082</v>
      </c>
      <c r="AR483" s="215">
        <f>+ROUND(AP483*AQ483,2)</f>
        <v>128508.7</v>
      </c>
      <c r="AS483" s="201"/>
      <c r="AT483" s="194"/>
      <c r="AU483" s="135"/>
      <c r="AV483" s="143"/>
      <c r="BD483" s="152"/>
      <c r="BE483" s="148"/>
      <c r="BF483" s="206"/>
      <c r="BG483" s="194"/>
      <c r="BH483" s="144"/>
      <c r="BI483" s="194"/>
      <c r="BJ483" s="135"/>
      <c r="BK483" s="136"/>
      <c r="BM483" s="176"/>
      <c r="BN483" s="267"/>
      <c r="BO483" s="136"/>
      <c r="BQ483" s="189"/>
      <c r="BR483" s="135"/>
      <c r="BS483" s="135"/>
      <c r="BT483" s="135"/>
      <c r="BU483" s="135"/>
      <c r="BV483" s="135"/>
      <c r="BW483" s="135"/>
      <c r="BX483" s="135"/>
    </row>
    <row r="484" spans="14:76" x14ac:dyDescent="0.2">
      <c r="N484" s="371"/>
      <c r="AF484" s="135"/>
      <c r="AG484" s="135"/>
      <c r="AH484" s="135"/>
      <c r="AI484" s="135"/>
      <c r="AJ484" s="135"/>
      <c r="AK484" s="135"/>
      <c r="AL484" s="135"/>
      <c r="AM484" s="135"/>
      <c r="AN484" s="216" t="s">
        <v>323</v>
      </c>
      <c r="AO484" s="213" t="s">
        <v>28</v>
      </c>
      <c r="AP484" s="214">
        <v>1</v>
      </c>
      <c r="AQ484" s="214">
        <v>3855.261</v>
      </c>
      <c r="AR484" s="215">
        <f>+ROUND(AP484*AQ484,2)</f>
        <v>3855.26</v>
      </c>
      <c r="AS484" s="201"/>
      <c r="AT484" s="194"/>
      <c r="AU484" s="135"/>
      <c r="AV484" s="143"/>
      <c r="BD484" s="152"/>
      <c r="BE484" s="148"/>
      <c r="BF484" s="206"/>
      <c r="BG484" s="194"/>
      <c r="BH484" s="144"/>
      <c r="BI484" s="194"/>
      <c r="BJ484" s="135"/>
      <c r="BK484" s="136"/>
      <c r="BM484" s="176"/>
      <c r="BN484" s="267"/>
      <c r="BO484" s="136"/>
      <c r="BQ484" s="189"/>
      <c r="BR484" s="135"/>
      <c r="BS484" s="135"/>
      <c r="BT484" s="135"/>
      <c r="BU484" s="135"/>
      <c r="BV484" s="135"/>
      <c r="BW484" s="135"/>
      <c r="BX484" s="135"/>
    </row>
    <row r="485" spans="14:76" x14ac:dyDescent="0.2">
      <c r="N485" s="371"/>
      <c r="AF485" s="135"/>
      <c r="AG485" s="135"/>
      <c r="AH485" s="135"/>
      <c r="AI485" s="135"/>
      <c r="AJ485" s="135"/>
      <c r="AK485" s="135"/>
      <c r="AL485" s="135"/>
      <c r="AM485" s="135"/>
      <c r="AN485" s="224" t="s">
        <v>50</v>
      </c>
      <c r="AO485" s="225" t="s">
        <v>28</v>
      </c>
      <c r="AP485" s="226">
        <v>0.03</v>
      </c>
      <c r="AQ485" s="219">
        <v>132363.96</v>
      </c>
      <c r="AR485" s="215">
        <f>+ROUND(AP485*AQ485,2)</f>
        <v>3970.92</v>
      </c>
      <c r="AS485" s="201"/>
      <c r="AT485" s="194"/>
      <c r="AU485" s="135"/>
      <c r="AV485" s="143"/>
      <c r="BD485" s="152"/>
      <c r="BE485" s="148"/>
      <c r="BF485" s="206"/>
      <c r="BG485" s="194"/>
      <c r="BH485" s="144"/>
      <c r="BI485" s="194"/>
      <c r="BJ485" s="135"/>
      <c r="BK485" s="136"/>
      <c r="BM485" s="176"/>
      <c r="BN485" s="267"/>
      <c r="BO485" s="136"/>
      <c r="BQ485" s="189"/>
      <c r="BR485" s="135"/>
      <c r="BS485" s="135"/>
      <c r="BT485" s="135"/>
      <c r="BU485" s="135"/>
      <c r="BV485" s="135"/>
      <c r="BW485" s="135"/>
      <c r="BX485" s="135"/>
    </row>
    <row r="486" spans="14:76" x14ac:dyDescent="0.2">
      <c r="N486" s="372"/>
      <c r="AF486" s="135"/>
      <c r="AG486" s="135"/>
      <c r="AH486" s="135"/>
      <c r="AI486" s="135"/>
      <c r="AJ486" s="135"/>
      <c r="AK486" s="135"/>
      <c r="AL486" s="135"/>
      <c r="AM486" s="135"/>
      <c r="AN486" s="232" t="s">
        <v>51</v>
      </c>
      <c r="AO486" s="233"/>
      <c r="AP486" s="234"/>
      <c r="AQ486" s="234"/>
      <c r="AR486" s="235">
        <f>SUM(AR483:AR485)</f>
        <v>136334.88</v>
      </c>
      <c r="AS486" s="235"/>
      <c r="AU486" s="135"/>
      <c r="AV486" s="143"/>
      <c r="BD486" s="152"/>
      <c r="BE486" s="148"/>
      <c r="BF486" s="206"/>
      <c r="BG486" s="194"/>
      <c r="BH486" s="144"/>
      <c r="BI486" s="194"/>
      <c r="BJ486" s="135"/>
      <c r="BK486" s="136"/>
      <c r="BM486" s="176"/>
      <c r="BN486" s="267"/>
      <c r="BO486" s="136"/>
      <c r="BQ486" s="189"/>
      <c r="BR486" s="135"/>
      <c r="BS486" s="135"/>
      <c r="BT486" s="135"/>
      <c r="BU486" s="135"/>
      <c r="BV486" s="135"/>
      <c r="BW486" s="135"/>
      <c r="BX486" s="135"/>
    </row>
    <row r="487" spans="14:76" x14ac:dyDescent="0.2">
      <c r="N487" s="370"/>
      <c r="AF487" s="135"/>
      <c r="AG487" s="135"/>
      <c r="AH487" s="135"/>
      <c r="AI487" s="135"/>
      <c r="AJ487" s="135"/>
      <c r="AK487" s="135"/>
      <c r="AL487" s="135"/>
      <c r="AM487" s="135"/>
      <c r="AN487" s="197" t="s">
        <v>53</v>
      </c>
      <c r="AO487" s="198"/>
      <c r="AP487" s="199"/>
      <c r="AQ487" s="199"/>
      <c r="AR487" s="200"/>
      <c r="AS487" s="153"/>
      <c r="AT487" s="153"/>
      <c r="AU487" s="135"/>
      <c r="AV487" s="143"/>
      <c r="BD487" s="152"/>
      <c r="BE487" s="148"/>
      <c r="BF487" s="206"/>
      <c r="BG487" s="194"/>
      <c r="BH487" s="144"/>
      <c r="BI487" s="194"/>
      <c r="BJ487" s="135"/>
      <c r="BK487" s="136"/>
      <c r="BM487" s="176"/>
      <c r="BN487" s="267"/>
      <c r="BO487" s="136"/>
      <c r="BQ487" s="189"/>
      <c r="BR487" s="135"/>
      <c r="BS487" s="135"/>
      <c r="BT487" s="135"/>
      <c r="BU487" s="135"/>
      <c r="BV487" s="135"/>
      <c r="BW487" s="135"/>
      <c r="BX487" s="135"/>
    </row>
    <row r="488" spans="14:76" x14ac:dyDescent="0.2">
      <c r="N488" s="371"/>
      <c r="AF488" s="135"/>
      <c r="AG488" s="135"/>
      <c r="AH488" s="135"/>
      <c r="AI488" s="135"/>
      <c r="AJ488" s="135"/>
      <c r="AK488" s="135"/>
      <c r="AL488" s="135"/>
      <c r="AM488" s="135"/>
      <c r="AN488" s="224" t="s">
        <v>54</v>
      </c>
      <c r="AO488" s="225" t="s">
        <v>55</v>
      </c>
      <c r="AP488" s="226">
        <v>4</v>
      </c>
      <c r="AQ488" s="226">
        <v>1600.8</v>
      </c>
      <c r="AR488" s="215">
        <f>+ROUND(AP488*AQ488,2)</f>
        <v>6403.2</v>
      </c>
      <c r="AS488" s="194"/>
      <c r="AT488" s="194"/>
      <c r="AU488" s="135"/>
      <c r="AV488" s="143"/>
      <c r="BD488" s="152"/>
      <c r="BE488" s="148"/>
      <c r="BF488" s="206"/>
      <c r="BG488" s="194"/>
      <c r="BH488" s="144"/>
      <c r="BI488" s="194"/>
      <c r="BJ488" s="135"/>
      <c r="BK488" s="135"/>
      <c r="BM488" s="176"/>
      <c r="BN488" s="267"/>
      <c r="BO488" s="136"/>
      <c r="BQ488" s="148"/>
      <c r="BR488" s="136"/>
      <c r="BS488" s="149"/>
      <c r="BT488" s="136"/>
      <c r="BW488" s="135"/>
      <c r="BX488" s="189"/>
    </row>
    <row r="489" spans="14:76" x14ac:dyDescent="0.2">
      <c r="N489" s="371"/>
      <c r="AF489" s="135"/>
      <c r="AG489" s="135"/>
      <c r="AH489" s="135"/>
      <c r="AI489" s="135"/>
      <c r="AJ489" s="135"/>
      <c r="AK489" s="135"/>
      <c r="AL489" s="135"/>
      <c r="AM489" s="135"/>
      <c r="AN489" s="224" t="s">
        <v>56</v>
      </c>
      <c r="AO489" s="225" t="s">
        <v>55</v>
      </c>
      <c r="AP489" s="226">
        <v>2</v>
      </c>
      <c r="AQ489" s="226">
        <v>1354.6999999999998</v>
      </c>
      <c r="AR489" s="215">
        <f>+ROUND(AP489*AQ489,2)</f>
        <v>2709.4</v>
      </c>
      <c r="AS489" s="194"/>
      <c r="AT489" s="194"/>
      <c r="AU489" s="135"/>
      <c r="AV489" s="143"/>
      <c r="BD489" s="152"/>
      <c r="BE489" s="148"/>
      <c r="BF489" s="206"/>
      <c r="BG489" s="194"/>
      <c r="BH489" s="144"/>
      <c r="BI489" s="194"/>
      <c r="BJ489" s="135"/>
      <c r="BK489" s="135"/>
      <c r="BM489" s="176"/>
      <c r="BN489" s="267"/>
      <c r="BO489" s="136"/>
      <c r="BQ489" s="148"/>
      <c r="BR489" s="136"/>
      <c r="BS489" s="149"/>
      <c r="BT489" s="136"/>
      <c r="BW489" s="135"/>
      <c r="BX489" s="189"/>
    </row>
    <row r="490" spans="14:76" x14ac:dyDescent="0.2">
      <c r="N490" s="371"/>
      <c r="AF490" s="135"/>
      <c r="AG490" s="135"/>
      <c r="AH490" s="135"/>
      <c r="AI490" s="135"/>
      <c r="AJ490" s="135"/>
      <c r="AK490" s="135"/>
      <c r="AL490" s="135"/>
      <c r="AM490" s="135"/>
      <c r="AN490" s="248"/>
      <c r="AO490" s="249"/>
      <c r="AP490" s="219"/>
      <c r="AQ490" s="219"/>
      <c r="AR490" s="215"/>
      <c r="AS490" s="194"/>
      <c r="AT490" s="194"/>
      <c r="AU490" s="135"/>
      <c r="AV490" s="143"/>
      <c r="BD490" s="152"/>
      <c r="BE490" s="148"/>
      <c r="BF490" s="206"/>
      <c r="BG490" s="194"/>
      <c r="BH490" s="144"/>
      <c r="BI490" s="194"/>
      <c r="BJ490" s="135"/>
      <c r="BK490" s="135"/>
      <c r="BM490" s="176"/>
      <c r="BN490" s="267"/>
      <c r="BO490" s="136"/>
      <c r="BQ490" s="148"/>
      <c r="BR490" s="136"/>
      <c r="BS490" s="149"/>
      <c r="BT490" s="136"/>
      <c r="BW490" s="135"/>
      <c r="BX490" s="189"/>
    </row>
    <row r="491" spans="14:76" x14ac:dyDescent="0.2">
      <c r="N491" s="371"/>
      <c r="AF491" s="135"/>
      <c r="AG491" s="135"/>
      <c r="AH491" s="135"/>
      <c r="AI491" s="135"/>
      <c r="AJ491" s="135"/>
      <c r="AK491" s="135"/>
      <c r="AL491" s="135"/>
      <c r="AM491" s="135"/>
      <c r="AN491" s="232" t="s">
        <v>57</v>
      </c>
      <c r="AO491" s="233"/>
      <c r="AP491" s="234"/>
      <c r="AQ491" s="234"/>
      <c r="AR491" s="235">
        <f>SUM(AR488:AR490)</f>
        <v>9112.6</v>
      </c>
      <c r="AS491" s="138">
        <f>+AR491/AR486</f>
        <v>6.6839828516370867E-2</v>
      </c>
      <c r="AU491" s="135"/>
      <c r="AV491" s="143"/>
      <c r="BD491" s="152"/>
      <c r="BE491" s="148"/>
      <c r="BF491" s="206"/>
      <c r="BG491" s="194"/>
      <c r="BH491" s="144"/>
      <c r="BI491" s="194"/>
      <c r="BJ491" s="135"/>
      <c r="BK491" s="135"/>
      <c r="BM491" s="176"/>
      <c r="BN491" s="267"/>
      <c r="BO491" s="136"/>
      <c r="BQ491" s="148"/>
      <c r="BR491" s="136"/>
      <c r="BS491" s="149"/>
      <c r="BT491" s="136"/>
      <c r="BW491" s="135"/>
      <c r="BX491" s="189"/>
    </row>
    <row r="492" spans="14:76" x14ac:dyDescent="0.2">
      <c r="N492" s="371"/>
      <c r="AF492" s="135"/>
      <c r="AG492" s="135"/>
      <c r="AH492" s="135"/>
      <c r="AI492" s="135"/>
      <c r="AJ492" s="135"/>
      <c r="AK492" s="135"/>
      <c r="AL492" s="135"/>
      <c r="AM492" s="135"/>
      <c r="AN492" s="197" t="s">
        <v>58</v>
      </c>
      <c r="AO492" s="198"/>
      <c r="AP492" s="199"/>
      <c r="AQ492" s="199"/>
      <c r="AR492" s="200"/>
      <c r="AS492" s="153"/>
      <c r="AT492" s="153"/>
      <c r="AU492" s="135"/>
      <c r="AV492" s="143"/>
      <c r="BD492" s="152"/>
      <c r="BE492" s="148"/>
      <c r="BF492" s="206"/>
      <c r="BG492" s="194"/>
      <c r="BH492" s="144"/>
      <c r="BI492" s="194"/>
      <c r="BJ492" s="135"/>
      <c r="BK492" s="135"/>
      <c r="BM492" s="176"/>
      <c r="BN492" s="267"/>
      <c r="BO492" s="136"/>
      <c r="BQ492" s="148"/>
      <c r="BR492" s="136"/>
      <c r="BS492" s="149"/>
      <c r="BT492" s="136"/>
      <c r="BW492" s="135"/>
      <c r="BX492" s="189"/>
    </row>
    <row r="493" spans="14:76" x14ac:dyDescent="0.2">
      <c r="N493" s="371"/>
      <c r="AF493" s="135"/>
      <c r="AG493" s="135"/>
      <c r="AH493" s="135"/>
      <c r="AI493" s="135"/>
      <c r="AJ493" s="135"/>
      <c r="AK493" s="135"/>
      <c r="AL493" s="135"/>
      <c r="AM493" s="135"/>
      <c r="AN493" s="252" t="s">
        <v>59</v>
      </c>
      <c r="AO493" s="213" t="s">
        <v>60</v>
      </c>
      <c r="AP493" s="226">
        <v>180</v>
      </c>
      <c r="AQ493" s="226">
        <v>1.9600688000000004</v>
      </c>
      <c r="AR493" s="215">
        <f>+ROUND(AP493*AQ493,2)</f>
        <v>352.81</v>
      </c>
      <c r="AS493" s="194"/>
      <c r="AT493" s="194"/>
      <c r="AU493" s="135"/>
      <c r="AV493" s="143"/>
      <c r="BD493" s="152"/>
      <c r="BE493" s="148"/>
      <c r="BF493" s="206"/>
      <c r="BG493" s="194"/>
      <c r="BH493" s="144"/>
      <c r="BI493" s="194"/>
      <c r="BJ493" s="135"/>
      <c r="BK493" s="135"/>
      <c r="BM493" s="176"/>
      <c r="BN493" s="267"/>
      <c r="BO493" s="136"/>
      <c r="BQ493" s="148"/>
      <c r="BR493" s="136"/>
      <c r="BS493" s="149"/>
      <c r="BT493" s="136"/>
      <c r="BW493" s="135"/>
      <c r="BX493" s="189"/>
    </row>
    <row r="494" spans="14:76" x14ac:dyDescent="0.2">
      <c r="N494" s="371"/>
      <c r="AF494" s="135"/>
      <c r="AG494" s="135"/>
      <c r="AH494" s="135"/>
      <c r="AI494" s="135"/>
      <c r="AJ494" s="135"/>
      <c r="AK494" s="135"/>
      <c r="AL494" s="135"/>
      <c r="AM494" s="135"/>
      <c r="AN494" s="202" t="s">
        <v>62</v>
      </c>
      <c r="AO494" s="250"/>
      <c r="AP494" s="168"/>
      <c r="AQ494" s="168"/>
      <c r="AR494" s="251">
        <f>SUM(AR493:AR493)</f>
        <v>352.81</v>
      </c>
      <c r="AS494" s="194"/>
      <c r="AT494" s="194"/>
      <c r="AU494" s="135"/>
      <c r="AV494" s="143"/>
      <c r="BD494" s="152"/>
      <c r="BE494" s="148"/>
      <c r="BF494" s="206"/>
      <c r="BG494" s="194"/>
      <c r="BH494" s="144"/>
      <c r="BI494" s="194"/>
      <c r="BJ494" s="135"/>
      <c r="BK494" s="135"/>
      <c r="BM494" s="176"/>
      <c r="BN494" s="267"/>
      <c r="BO494" s="136"/>
      <c r="BQ494" s="148"/>
      <c r="BR494" s="136"/>
      <c r="BS494" s="149"/>
      <c r="BT494" s="136"/>
      <c r="BW494" s="135"/>
      <c r="BX494" s="189"/>
    </row>
    <row r="495" spans="14:76" x14ac:dyDescent="0.2">
      <c r="N495" s="371"/>
      <c r="AF495" s="135"/>
      <c r="AG495" s="135"/>
      <c r="AH495" s="135"/>
      <c r="AI495" s="135"/>
      <c r="AJ495" s="135"/>
      <c r="AK495" s="135"/>
      <c r="AL495" s="135"/>
      <c r="AM495" s="135"/>
      <c r="AN495" s="253" t="s">
        <v>63</v>
      </c>
      <c r="AO495" s="233"/>
      <c r="AP495" s="254" t="s">
        <v>64</v>
      </c>
      <c r="AQ495" s="255"/>
      <c r="AR495" s="256">
        <f>+AR486+AR491+AR494</f>
        <v>145800.29</v>
      </c>
      <c r="AS495" s="194"/>
      <c r="AT495" s="194"/>
      <c r="AU495" s="135"/>
      <c r="AV495" s="143"/>
      <c r="BD495" s="152"/>
      <c r="BE495" s="148"/>
      <c r="BF495" s="206"/>
      <c r="BG495" s="194"/>
      <c r="BH495" s="144"/>
      <c r="BI495" s="194"/>
      <c r="BJ495" s="135"/>
      <c r="BK495" s="135"/>
      <c r="BM495" s="176"/>
      <c r="BN495" s="267"/>
      <c r="BO495" s="136"/>
      <c r="BQ495" s="148"/>
      <c r="BR495" s="136"/>
      <c r="BS495" s="149"/>
      <c r="BT495" s="136"/>
      <c r="BW495" s="135"/>
      <c r="BX495" s="189"/>
    </row>
    <row r="496" spans="14:76" x14ac:dyDescent="0.2">
      <c r="N496" s="371"/>
      <c r="AF496" s="135"/>
      <c r="AG496" s="135"/>
      <c r="AH496" s="135"/>
      <c r="AI496" s="135"/>
      <c r="AJ496" s="135"/>
      <c r="AK496" s="135"/>
      <c r="AL496" s="135"/>
      <c r="AM496" s="135"/>
      <c r="AN496" s="152"/>
      <c r="AO496" s="153"/>
      <c r="AP496" s="145"/>
      <c r="AQ496" s="145"/>
      <c r="AR496" s="145"/>
      <c r="AS496" s="154"/>
      <c r="AT496" s="154"/>
      <c r="AU496" s="135"/>
      <c r="AV496" s="143"/>
      <c r="BD496" s="152"/>
      <c r="BE496" s="148"/>
      <c r="BF496" s="206"/>
      <c r="BG496" s="194"/>
      <c r="BH496" s="144"/>
      <c r="BI496" s="194"/>
      <c r="BJ496" s="135"/>
      <c r="BK496" s="135"/>
      <c r="BM496" s="176"/>
      <c r="BN496" s="267"/>
      <c r="BO496" s="136"/>
      <c r="BQ496" s="148"/>
      <c r="BR496" s="136"/>
      <c r="BS496" s="149"/>
      <c r="BT496" s="136"/>
      <c r="BW496" s="135"/>
      <c r="BX496" s="189"/>
    </row>
    <row r="497" spans="14:76" x14ac:dyDescent="0.2">
      <c r="N497" s="371"/>
      <c r="AF497" s="135"/>
      <c r="AG497" s="135"/>
      <c r="AH497" s="135"/>
      <c r="AI497" s="135"/>
      <c r="AJ497" s="135"/>
      <c r="AK497" s="135"/>
      <c r="AL497" s="135"/>
      <c r="AM497" s="135"/>
      <c r="AN497" s="155" t="s">
        <v>399</v>
      </c>
      <c r="AO497" s="169"/>
      <c r="AP497" s="172"/>
      <c r="AQ497" s="172"/>
      <c r="AR497" s="173"/>
      <c r="AS497" s="154"/>
      <c r="AT497" s="154"/>
      <c r="AU497" s="135"/>
      <c r="AV497" s="143"/>
      <c r="BD497" s="152"/>
      <c r="BE497" s="148"/>
      <c r="BF497" s="206"/>
      <c r="BG497" s="194"/>
      <c r="BH497" s="144"/>
      <c r="BI497" s="194"/>
      <c r="BJ497" s="135"/>
      <c r="BK497" s="135"/>
      <c r="BL497" s="206"/>
      <c r="BM497" s="176"/>
      <c r="BN497" s="267"/>
      <c r="BO497" s="136"/>
      <c r="BQ497" s="148"/>
      <c r="BR497" s="136"/>
      <c r="BS497" s="149"/>
      <c r="BT497" s="136"/>
      <c r="BW497" s="135"/>
      <c r="BX497" s="189"/>
    </row>
    <row r="498" spans="14:76" x14ac:dyDescent="0.2">
      <c r="N498" s="371"/>
      <c r="AF498" s="135"/>
      <c r="AG498" s="135"/>
      <c r="AH498" s="135"/>
      <c r="AI498" s="135"/>
      <c r="AJ498" s="135"/>
      <c r="AK498" s="135"/>
      <c r="AL498" s="135"/>
      <c r="AM498" s="135"/>
      <c r="AN498" s="177" t="s">
        <v>415</v>
      </c>
      <c r="AO498" s="150"/>
      <c r="AP498" s="178"/>
      <c r="AQ498" s="149"/>
      <c r="AR498" s="179" t="str">
        <f>$G$88</f>
        <v>Un</v>
      </c>
      <c r="AS498" s="180">
        <f>$H$88</f>
        <v>1</v>
      </c>
      <c r="AT498" s="180"/>
      <c r="AU498" s="135"/>
      <c r="AV498" s="143"/>
      <c r="BD498" s="152"/>
      <c r="BE498" s="148"/>
      <c r="BF498" s="206"/>
      <c r="BG498" s="194"/>
      <c r="BH498" s="144"/>
      <c r="BI498" s="194"/>
      <c r="BJ498" s="135"/>
      <c r="BK498" s="135"/>
      <c r="BL498" s="206"/>
      <c r="BM498" s="176"/>
      <c r="BN498" s="267"/>
      <c r="BO498" s="136"/>
      <c r="BQ498" s="148"/>
      <c r="BR498" s="136"/>
      <c r="BS498" s="149"/>
      <c r="BT498" s="136"/>
      <c r="BW498" s="135"/>
      <c r="BX498" s="189"/>
    </row>
    <row r="499" spans="14:76" ht="16.5" thickBot="1" x14ac:dyDescent="0.25">
      <c r="N499" s="371"/>
      <c r="AF499" s="135"/>
      <c r="AG499" s="135"/>
      <c r="AH499" s="135"/>
      <c r="AI499" s="135"/>
      <c r="AJ499" s="135"/>
      <c r="AK499" s="135"/>
      <c r="AL499" s="135"/>
      <c r="AM499" s="135"/>
      <c r="AN499" s="183"/>
      <c r="AO499" s="184"/>
      <c r="AP499" s="185"/>
      <c r="AQ499" s="185"/>
      <c r="AR499" s="186"/>
      <c r="AU499" s="135"/>
      <c r="AV499" s="143"/>
      <c r="BD499" s="152"/>
      <c r="BE499" s="148"/>
      <c r="BF499" s="206"/>
      <c r="BG499" s="194"/>
      <c r="BH499" s="144"/>
      <c r="BI499" s="194"/>
      <c r="BJ499" s="135"/>
      <c r="BK499" s="135"/>
      <c r="BL499" s="206"/>
      <c r="BM499" s="176"/>
      <c r="BN499" s="267"/>
      <c r="BO499" s="136"/>
      <c r="BQ499" s="148"/>
      <c r="BR499" s="136"/>
      <c r="BS499" s="149"/>
      <c r="BT499" s="136"/>
      <c r="BW499" s="135"/>
      <c r="BX499" s="189"/>
    </row>
    <row r="500" spans="14:76" ht="16.5" thickTop="1" x14ac:dyDescent="0.2">
      <c r="N500" s="371"/>
      <c r="AF500" s="135"/>
      <c r="AG500" s="135"/>
      <c r="AH500" s="135"/>
      <c r="AI500" s="135"/>
      <c r="AJ500" s="135"/>
      <c r="AK500" s="135"/>
      <c r="AL500" s="135"/>
      <c r="AM500" s="135"/>
      <c r="AN500" s="191" t="s">
        <v>31</v>
      </c>
      <c r="AO500" s="192" t="s">
        <v>32</v>
      </c>
      <c r="AP500" s="192" t="s">
        <v>33</v>
      </c>
      <c r="AQ500" s="192" t="s">
        <v>1</v>
      </c>
      <c r="AR500" s="192" t="s">
        <v>34</v>
      </c>
      <c r="AS500" s="193" t="s">
        <v>76</v>
      </c>
      <c r="AT500" s="153"/>
      <c r="AU500" s="135"/>
      <c r="AV500" s="143"/>
      <c r="BD500" s="152"/>
      <c r="BE500" s="148"/>
      <c r="BF500" s="206"/>
      <c r="BG500" s="194"/>
      <c r="BH500" s="144"/>
      <c r="BI500" s="194"/>
      <c r="BJ500" s="135"/>
      <c r="BK500" s="135"/>
      <c r="BL500" s="206"/>
      <c r="BM500" s="176"/>
      <c r="BN500" s="139"/>
      <c r="BO500" s="136"/>
      <c r="BQ500" s="148"/>
      <c r="BR500" s="136"/>
      <c r="BS500" s="149"/>
      <c r="BT500" s="136"/>
      <c r="BW500" s="135"/>
      <c r="BX500" s="189"/>
    </row>
    <row r="501" spans="14:76" x14ac:dyDescent="0.2">
      <c r="N501" s="371"/>
      <c r="AF501" s="135"/>
      <c r="AG501" s="135"/>
      <c r="AH501" s="135"/>
      <c r="AI501" s="135"/>
      <c r="AJ501" s="135"/>
      <c r="AK501" s="135"/>
      <c r="AL501" s="135"/>
      <c r="AM501" s="135"/>
      <c r="AN501" s="197" t="s">
        <v>37</v>
      </c>
      <c r="AO501" s="198"/>
      <c r="AP501" s="199"/>
      <c r="AQ501" s="199"/>
      <c r="AR501" s="200"/>
      <c r="AS501" s="201"/>
      <c r="AT501" s="194"/>
      <c r="AU501" s="135"/>
      <c r="AV501" s="143"/>
      <c r="BD501" s="152"/>
      <c r="BE501" s="148"/>
      <c r="BF501" s="206"/>
      <c r="BG501" s="194"/>
      <c r="BH501" s="144"/>
      <c r="BI501" s="194"/>
      <c r="BJ501" s="135"/>
      <c r="BK501" s="135"/>
      <c r="BL501" s="176"/>
      <c r="BM501" s="176"/>
      <c r="BN501" s="139"/>
      <c r="BO501" s="136"/>
      <c r="BQ501" s="148"/>
      <c r="BR501" s="136"/>
      <c r="BS501" s="149"/>
      <c r="BT501" s="136"/>
      <c r="BW501" s="135"/>
      <c r="BX501" s="189"/>
    </row>
    <row r="502" spans="14:76" x14ac:dyDescent="0.2">
      <c r="N502" s="371"/>
      <c r="AF502" s="135"/>
      <c r="AG502" s="135"/>
      <c r="AH502" s="135"/>
      <c r="AI502" s="135"/>
      <c r="AJ502" s="135"/>
      <c r="AK502" s="135"/>
      <c r="AL502" s="135"/>
      <c r="AM502" s="135"/>
      <c r="AN502" s="216" t="s">
        <v>415</v>
      </c>
      <c r="AO502" s="213" t="s">
        <v>28</v>
      </c>
      <c r="AP502" s="214">
        <v>1</v>
      </c>
      <c r="AQ502" s="214">
        <v>296600</v>
      </c>
      <c r="AR502" s="215">
        <f>+ROUND(AP502*AQ502,2)</f>
        <v>296600</v>
      </c>
      <c r="AS502" s="201"/>
      <c r="AT502" s="194"/>
      <c r="AU502" s="135"/>
      <c r="AV502" s="143"/>
      <c r="BD502" s="152"/>
      <c r="BE502" s="148"/>
      <c r="BF502" s="206"/>
      <c r="BG502" s="194"/>
      <c r="BH502" s="144"/>
      <c r="BI502" s="194"/>
      <c r="BJ502" s="135"/>
      <c r="BK502" s="135"/>
      <c r="BL502" s="176"/>
      <c r="BM502" s="176"/>
      <c r="BN502" s="139"/>
      <c r="BO502" s="136"/>
      <c r="BQ502" s="148"/>
      <c r="BR502" s="136"/>
      <c r="BS502" s="149"/>
      <c r="BT502" s="136"/>
      <c r="BW502" s="135"/>
      <c r="BX502" s="189"/>
    </row>
    <row r="503" spans="14:76" x14ac:dyDescent="0.2">
      <c r="N503" s="373"/>
      <c r="AF503" s="135"/>
      <c r="AG503" s="135"/>
      <c r="AH503" s="135"/>
      <c r="AI503" s="135"/>
      <c r="AJ503" s="135"/>
      <c r="AK503" s="135"/>
      <c r="AL503" s="135"/>
      <c r="AM503" s="135"/>
      <c r="AN503" s="216" t="s">
        <v>323</v>
      </c>
      <c r="AO503" s="213" t="s">
        <v>28</v>
      </c>
      <c r="AP503" s="214">
        <v>1</v>
      </c>
      <c r="AQ503" s="214">
        <v>8898</v>
      </c>
      <c r="AR503" s="215">
        <f>+ROUND(AP503*AQ503,2)</f>
        <v>8898</v>
      </c>
      <c r="AS503" s="201"/>
      <c r="AT503" s="194"/>
      <c r="AU503" s="135"/>
      <c r="AV503" s="143"/>
      <c r="BD503" s="152"/>
      <c r="BE503" s="148"/>
      <c r="BF503" s="206"/>
      <c r="BG503" s="194"/>
      <c r="BH503" s="144"/>
      <c r="BI503" s="194"/>
      <c r="BJ503" s="135"/>
      <c r="BK503" s="206"/>
      <c r="BL503" s="176"/>
      <c r="BM503" s="176"/>
      <c r="BN503" s="139"/>
      <c r="BO503" s="136"/>
      <c r="BQ503" s="148"/>
      <c r="BR503" s="136"/>
      <c r="BS503" s="149"/>
      <c r="BT503" s="136"/>
      <c r="BW503" s="135"/>
      <c r="BX503" s="189"/>
    </row>
    <row r="504" spans="14:76" x14ac:dyDescent="0.2">
      <c r="N504" s="371"/>
      <c r="AF504" s="135"/>
      <c r="AG504" s="135"/>
      <c r="AH504" s="135"/>
      <c r="AI504" s="135"/>
      <c r="AJ504" s="135"/>
      <c r="AK504" s="135"/>
      <c r="AL504" s="135"/>
      <c r="AM504" s="135"/>
      <c r="AN504" s="224" t="s">
        <v>50</v>
      </c>
      <c r="AO504" s="225" t="s">
        <v>28</v>
      </c>
      <c r="AP504" s="226">
        <v>0.03</v>
      </c>
      <c r="AQ504" s="219">
        <v>305498</v>
      </c>
      <c r="AR504" s="215">
        <f>+ROUND(AP504*AQ504,2)</f>
        <v>9164.94</v>
      </c>
      <c r="AS504" s="201"/>
      <c r="AT504" s="194"/>
      <c r="AU504" s="135"/>
      <c r="AV504" s="143"/>
      <c r="BD504" s="152"/>
      <c r="BE504" s="148"/>
      <c r="BF504" s="206"/>
      <c r="BG504" s="194"/>
      <c r="BH504" s="144"/>
      <c r="BI504" s="194"/>
      <c r="BJ504" s="135"/>
      <c r="BK504" s="206"/>
      <c r="BL504" s="176"/>
      <c r="BM504" s="176"/>
      <c r="BN504" s="139"/>
      <c r="BO504" s="136"/>
      <c r="BQ504" s="148"/>
      <c r="BR504" s="136"/>
      <c r="BS504" s="149"/>
      <c r="BT504" s="136"/>
      <c r="BW504" s="135"/>
      <c r="BX504" s="189"/>
    </row>
    <row r="505" spans="14:76" x14ac:dyDescent="0.2">
      <c r="N505" s="371"/>
      <c r="AF505" s="135"/>
      <c r="AG505" s="135"/>
      <c r="AH505" s="135"/>
      <c r="AI505" s="135"/>
      <c r="AJ505" s="135"/>
      <c r="AK505" s="135"/>
      <c r="AL505" s="135"/>
      <c r="AM505" s="135"/>
      <c r="AN505" s="232" t="s">
        <v>51</v>
      </c>
      <c r="AO505" s="233"/>
      <c r="AP505" s="234"/>
      <c r="AQ505" s="234"/>
      <c r="AR505" s="235">
        <f>SUM(AR502:AR504)</f>
        <v>314662.94</v>
      </c>
      <c r="AS505" s="235"/>
      <c r="AU505" s="135"/>
      <c r="AV505" s="143"/>
      <c r="BK505" s="206"/>
      <c r="BM505" s="176"/>
      <c r="BN505" s="139"/>
      <c r="BO505" s="136"/>
      <c r="BQ505" s="148"/>
      <c r="BR505" s="136"/>
      <c r="BS505" s="149"/>
      <c r="BT505" s="136"/>
      <c r="BW505" s="135"/>
      <c r="BX505" s="189"/>
    </row>
    <row r="506" spans="14:76" x14ac:dyDescent="0.2">
      <c r="N506" s="371"/>
      <c r="AF506" s="135"/>
      <c r="AG506" s="135"/>
      <c r="AH506" s="135"/>
      <c r="AI506" s="135"/>
      <c r="AJ506" s="135"/>
      <c r="AK506" s="135"/>
      <c r="AL506" s="135"/>
      <c r="AM506" s="135"/>
      <c r="AN506" s="197" t="s">
        <v>53</v>
      </c>
      <c r="AO506" s="198"/>
      <c r="AP506" s="199"/>
      <c r="AQ506" s="199"/>
      <c r="AR506" s="200"/>
      <c r="AS506" s="153"/>
      <c r="AT506" s="153"/>
      <c r="AU506" s="135"/>
      <c r="AV506" s="143"/>
      <c r="BK506" s="206"/>
      <c r="BM506" s="176"/>
      <c r="BN506" s="139"/>
      <c r="BO506" s="136"/>
      <c r="BQ506" s="148"/>
      <c r="BR506" s="136"/>
      <c r="BS506" s="149"/>
      <c r="BT506" s="136"/>
      <c r="BW506" s="135"/>
      <c r="BX506" s="189"/>
    </row>
    <row r="507" spans="14:76" x14ac:dyDescent="0.2">
      <c r="N507" s="372"/>
      <c r="AF507" s="135"/>
      <c r="AG507" s="135"/>
      <c r="AH507" s="135"/>
      <c r="AI507" s="135"/>
      <c r="AJ507" s="135"/>
      <c r="AK507" s="135"/>
      <c r="AL507" s="135"/>
      <c r="AM507" s="135"/>
      <c r="AN507" s="224" t="s">
        <v>54</v>
      </c>
      <c r="AO507" s="225" t="s">
        <v>55</v>
      </c>
      <c r="AP507" s="226">
        <v>4</v>
      </c>
      <c r="AQ507" s="226">
        <v>1600.8</v>
      </c>
      <c r="AR507" s="215">
        <f>+ROUND(AP507*AQ507,2)</f>
        <v>6403.2</v>
      </c>
      <c r="AS507" s="194"/>
      <c r="AT507" s="194"/>
      <c r="AU507" s="135"/>
      <c r="AV507" s="143"/>
      <c r="BK507" s="176"/>
      <c r="BM507" s="176"/>
      <c r="BN507" s="139"/>
      <c r="BO507" s="136"/>
      <c r="BQ507" s="148"/>
      <c r="BR507" s="136"/>
      <c r="BS507" s="149"/>
      <c r="BT507" s="136"/>
      <c r="BW507" s="135"/>
      <c r="BX507" s="189"/>
    </row>
    <row r="508" spans="14:76" x14ac:dyDescent="0.2">
      <c r="AF508" s="135"/>
      <c r="AG508" s="135"/>
      <c r="AH508" s="135"/>
      <c r="AI508" s="135"/>
      <c r="AJ508" s="135"/>
      <c r="AK508" s="135"/>
      <c r="AL508" s="135"/>
      <c r="AM508" s="135"/>
      <c r="AN508" s="224" t="s">
        <v>56</v>
      </c>
      <c r="AO508" s="225" t="s">
        <v>55</v>
      </c>
      <c r="AP508" s="226">
        <v>2</v>
      </c>
      <c r="AQ508" s="226">
        <v>1354.6999999999998</v>
      </c>
      <c r="AR508" s="215">
        <f>+ROUND(AP508*AQ508,2)</f>
        <v>2709.4</v>
      </c>
      <c r="AS508" s="194"/>
      <c r="AT508" s="194"/>
      <c r="AU508" s="135"/>
      <c r="AV508" s="143"/>
      <c r="BK508" s="176"/>
      <c r="BM508" s="176"/>
      <c r="BN508" s="139"/>
      <c r="BO508" s="136"/>
      <c r="BQ508" s="148"/>
      <c r="BR508" s="136"/>
      <c r="BS508" s="149"/>
      <c r="BT508" s="136"/>
      <c r="BW508" s="135"/>
      <c r="BX508" s="189"/>
    </row>
    <row r="509" spans="14:76" x14ac:dyDescent="0.2">
      <c r="N509" s="370"/>
      <c r="AF509" s="135"/>
      <c r="AG509" s="135"/>
      <c r="AH509" s="135"/>
      <c r="AI509" s="135"/>
      <c r="AJ509" s="135"/>
      <c r="AK509" s="135"/>
      <c r="AL509" s="135"/>
      <c r="AM509" s="135"/>
      <c r="AN509" s="248"/>
      <c r="AO509" s="249"/>
      <c r="AP509" s="219"/>
      <c r="AQ509" s="219"/>
      <c r="AR509" s="215"/>
      <c r="AS509" s="194"/>
      <c r="AT509" s="194"/>
      <c r="AU509" s="135"/>
      <c r="AV509" s="143"/>
      <c r="BK509" s="176"/>
      <c r="BM509" s="176"/>
      <c r="BN509" s="139"/>
      <c r="BO509" s="136"/>
      <c r="BQ509" s="148"/>
      <c r="BR509" s="136"/>
      <c r="BS509" s="149"/>
      <c r="BT509" s="136"/>
      <c r="BW509" s="135"/>
      <c r="BX509" s="189"/>
    </row>
    <row r="510" spans="14:76" x14ac:dyDescent="0.2">
      <c r="N510" s="371"/>
      <c r="AF510" s="135"/>
      <c r="AN510" s="232" t="s">
        <v>57</v>
      </c>
      <c r="AO510" s="233"/>
      <c r="AP510" s="234"/>
      <c r="AQ510" s="234"/>
      <c r="AR510" s="235">
        <f>SUM(AR507:AR509)</f>
        <v>9112.6</v>
      </c>
      <c r="AS510" s="138">
        <f>+AR510/AR505</f>
        <v>2.8959876876507924E-2</v>
      </c>
      <c r="AU510" s="135"/>
      <c r="AV510" s="143"/>
      <c r="BK510" s="176"/>
      <c r="BM510" s="176"/>
      <c r="BN510" s="267"/>
      <c r="BO510" s="136"/>
      <c r="BQ510" s="148"/>
      <c r="BR510" s="136"/>
      <c r="BS510" s="149"/>
      <c r="BT510" s="136"/>
      <c r="BW510" s="135"/>
    </row>
    <row r="511" spans="14:76" x14ac:dyDescent="0.2">
      <c r="N511" s="371"/>
      <c r="AN511" s="197" t="s">
        <v>58</v>
      </c>
      <c r="AO511" s="198"/>
      <c r="AP511" s="199"/>
      <c r="AQ511" s="199"/>
      <c r="AR511" s="200"/>
      <c r="AS511" s="153"/>
      <c r="AT511" s="153"/>
      <c r="AU511" s="135"/>
      <c r="AV511" s="143"/>
      <c r="BK511" s="135"/>
      <c r="BM511" s="176"/>
      <c r="BN511" s="139"/>
      <c r="BO511" s="136"/>
      <c r="BQ511" s="148"/>
      <c r="BR511" s="136"/>
      <c r="BS511" s="149"/>
      <c r="BT511" s="136"/>
      <c r="BW511" s="135"/>
    </row>
    <row r="512" spans="14:76" x14ac:dyDescent="0.2">
      <c r="N512" s="371"/>
      <c r="AN512" s="252" t="s">
        <v>59</v>
      </c>
      <c r="AO512" s="213" t="s">
        <v>60</v>
      </c>
      <c r="AP512" s="226">
        <v>260</v>
      </c>
      <c r="AQ512" s="226">
        <v>1.9600688000000004</v>
      </c>
      <c r="AR512" s="215">
        <f>+ROUND(AP512*AQ512,2)</f>
        <v>509.62</v>
      </c>
      <c r="AS512" s="194"/>
      <c r="AT512" s="194"/>
      <c r="AU512" s="135"/>
      <c r="AV512" s="143"/>
      <c r="BK512" s="135"/>
      <c r="BM512" s="176"/>
      <c r="BN512" s="139"/>
      <c r="BO512" s="136"/>
      <c r="BQ512" s="148"/>
      <c r="BR512" s="136"/>
      <c r="BS512" s="149"/>
      <c r="BT512" s="136"/>
      <c r="BW512" s="135"/>
    </row>
    <row r="513" spans="14:75" x14ac:dyDescent="0.2">
      <c r="N513" s="371"/>
      <c r="AN513" s="202" t="s">
        <v>62</v>
      </c>
      <c r="AO513" s="250"/>
      <c r="AP513" s="168"/>
      <c r="AQ513" s="168"/>
      <c r="AR513" s="251">
        <f>SUM(AR512:AR512)</f>
        <v>509.62</v>
      </c>
      <c r="AS513" s="194"/>
      <c r="AT513" s="194"/>
      <c r="AU513" s="135"/>
      <c r="AV513" s="143"/>
      <c r="BK513" s="135"/>
      <c r="BM513" s="176"/>
      <c r="BN513" s="139"/>
      <c r="BO513" s="136"/>
      <c r="BQ513" s="148"/>
      <c r="BR513" s="136"/>
      <c r="BS513" s="149"/>
      <c r="BT513" s="136"/>
      <c r="BW513" s="135"/>
    </row>
    <row r="514" spans="14:75" x14ac:dyDescent="0.2">
      <c r="N514" s="372"/>
      <c r="AN514" s="253" t="s">
        <v>63</v>
      </c>
      <c r="AO514" s="233"/>
      <c r="AP514" s="254" t="s">
        <v>64</v>
      </c>
      <c r="AQ514" s="255"/>
      <c r="AR514" s="256">
        <f>+AR505+AR510+AR513</f>
        <v>324285.15999999997</v>
      </c>
      <c r="AS514" s="194"/>
      <c r="AT514" s="194"/>
      <c r="AU514" s="135"/>
      <c r="AV514" s="143"/>
      <c r="BK514" s="135"/>
      <c r="BM514" s="176"/>
      <c r="BN514" s="139"/>
      <c r="BO514" s="136"/>
      <c r="BQ514" s="148"/>
      <c r="BR514" s="136"/>
      <c r="BS514" s="149"/>
      <c r="BT514" s="136"/>
      <c r="BW514" s="135"/>
    </row>
    <row r="515" spans="14:75" x14ac:dyDescent="0.2">
      <c r="N515" s="371"/>
      <c r="AN515" s="152"/>
      <c r="AO515" s="153"/>
      <c r="AP515" s="145"/>
      <c r="AQ515" s="145"/>
      <c r="AR515" s="145"/>
      <c r="AS515" s="154"/>
      <c r="AT515" s="154"/>
      <c r="AU515" s="135"/>
      <c r="AV515" s="143"/>
      <c r="BK515" s="135"/>
      <c r="BM515" s="176"/>
      <c r="BN515" s="139"/>
      <c r="BO515" s="136"/>
      <c r="BQ515" s="148"/>
      <c r="BR515" s="136"/>
      <c r="BS515" s="149"/>
      <c r="BT515" s="136"/>
      <c r="BW515" s="135"/>
    </row>
    <row r="516" spans="14:75" x14ac:dyDescent="0.2">
      <c r="N516" s="370"/>
      <c r="AN516" s="155" t="s">
        <v>416</v>
      </c>
      <c r="AO516" s="169"/>
      <c r="AP516" s="172"/>
      <c r="AQ516" s="172"/>
      <c r="AR516" s="173"/>
      <c r="AS516" s="154"/>
      <c r="AT516" s="135"/>
      <c r="AV516" s="143"/>
      <c r="BK516" s="135"/>
      <c r="BM516" s="176"/>
      <c r="BN516" s="139"/>
      <c r="BO516" s="136"/>
      <c r="BQ516" s="148"/>
      <c r="BR516" s="136"/>
      <c r="BS516" s="149"/>
      <c r="BT516" s="136"/>
      <c r="BW516" s="135"/>
    </row>
    <row r="517" spans="14:75" x14ac:dyDescent="0.2">
      <c r="N517" s="371"/>
      <c r="AN517" s="177" t="s">
        <v>417</v>
      </c>
      <c r="AO517" s="150"/>
      <c r="AP517" s="178"/>
      <c r="AQ517" s="149"/>
      <c r="AR517" s="179" t="str">
        <f>$G$92</f>
        <v>Un</v>
      </c>
      <c r="AS517" s="180">
        <f>$H$92</f>
        <v>20</v>
      </c>
      <c r="AT517" s="135"/>
      <c r="AV517" s="143"/>
      <c r="BK517" s="135"/>
      <c r="BM517" s="176"/>
      <c r="BN517" s="139"/>
      <c r="BO517" s="136"/>
      <c r="BQ517" s="148"/>
      <c r="BR517" s="136"/>
      <c r="BS517" s="149"/>
      <c r="BT517" s="136"/>
      <c r="BW517" s="135"/>
    </row>
    <row r="518" spans="14:75" ht="16.5" thickBot="1" x14ac:dyDescent="0.25">
      <c r="N518" s="371"/>
      <c r="AN518" s="183"/>
      <c r="AO518" s="184"/>
      <c r="AP518" s="185"/>
      <c r="AQ518" s="185"/>
      <c r="AR518" s="186"/>
      <c r="AT518" s="135"/>
      <c r="AV518" s="143"/>
      <c r="BK518" s="135"/>
      <c r="BM518" s="176"/>
      <c r="BN518" s="139"/>
      <c r="BO518" s="136"/>
      <c r="BQ518" s="148"/>
      <c r="BR518" s="136"/>
      <c r="BS518" s="149"/>
      <c r="BT518" s="136"/>
      <c r="BW518" s="135"/>
    </row>
    <row r="519" spans="14:75" ht="16.5" thickTop="1" x14ac:dyDescent="0.2">
      <c r="N519" s="371"/>
      <c r="AN519" s="191" t="s">
        <v>31</v>
      </c>
      <c r="AO519" s="192" t="s">
        <v>32</v>
      </c>
      <c r="AP519" s="192" t="s">
        <v>33</v>
      </c>
      <c r="AQ519" s="192" t="s">
        <v>1</v>
      </c>
      <c r="AR519" s="192" t="s">
        <v>34</v>
      </c>
      <c r="AS519" s="193" t="s">
        <v>76</v>
      </c>
      <c r="AT519" s="135"/>
      <c r="AV519" s="143"/>
      <c r="BK519" s="135"/>
      <c r="BM519" s="176"/>
      <c r="BN519" s="139"/>
      <c r="BO519" s="136"/>
      <c r="BQ519" s="148"/>
      <c r="BR519" s="136"/>
      <c r="BS519" s="149"/>
      <c r="BT519" s="136"/>
      <c r="BW519" s="135"/>
    </row>
    <row r="520" spans="14:75" x14ac:dyDescent="0.2">
      <c r="N520" s="371"/>
      <c r="AN520" s="197" t="s">
        <v>37</v>
      </c>
      <c r="AO520" s="198"/>
      <c r="AP520" s="199"/>
      <c r="AQ520" s="199"/>
      <c r="AR520" s="200"/>
      <c r="AS520" s="201"/>
      <c r="AT520" s="135"/>
      <c r="AV520" s="143"/>
      <c r="BK520" s="135"/>
      <c r="BM520" s="176"/>
      <c r="BN520" s="139"/>
      <c r="BO520" s="136"/>
      <c r="BQ520" s="148"/>
      <c r="BR520" s="136"/>
      <c r="BS520" s="149"/>
      <c r="BT520" s="136"/>
      <c r="BW520" s="135"/>
    </row>
    <row r="521" spans="14:75" x14ac:dyDescent="0.2">
      <c r="N521" s="372"/>
      <c r="AN521" s="216"/>
      <c r="AO521" s="213"/>
      <c r="AP521" s="214"/>
      <c r="AQ521" s="214"/>
      <c r="AR521" s="215"/>
      <c r="AS521" s="201"/>
      <c r="AT521" s="135"/>
      <c r="AV521" s="143"/>
      <c r="BK521" s="135"/>
      <c r="BM521" s="176"/>
      <c r="BN521" s="139"/>
      <c r="BO521" s="136"/>
      <c r="BQ521" s="148"/>
      <c r="BR521" s="136"/>
      <c r="BS521" s="149"/>
      <c r="BT521" s="136"/>
      <c r="BW521" s="135"/>
    </row>
    <row r="522" spans="14:75" x14ac:dyDescent="0.2">
      <c r="AN522" s="216"/>
      <c r="AO522" s="213"/>
      <c r="AP522" s="214"/>
      <c r="AQ522" s="214"/>
      <c r="AR522" s="215"/>
      <c r="AS522" s="201"/>
      <c r="AT522" s="135"/>
      <c r="AV522" s="143"/>
      <c r="BK522" s="135"/>
      <c r="BM522" s="176"/>
      <c r="BN522" s="139"/>
      <c r="BO522" s="136"/>
      <c r="BQ522" s="148"/>
      <c r="BR522" s="136"/>
      <c r="BS522" s="149"/>
      <c r="BT522" s="136"/>
      <c r="BW522" s="135"/>
    </row>
    <row r="523" spans="14:75" x14ac:dyDescent="0.2">
      <c r="AN523" s="224" t="s">
        <v>50</v>
      </c>
      <c r="AO523" s="225" t="s">
        <v>28</v>
      </c>
      <c r="AP523" s="226">
        <v>0.03</v>
      </c>
      <c r="AQ523" s="219"/>
      <c r="AR523" s="223"/>
      <c r="AS523" s="201"/>
      <c r="AT523" s="135"/>
      <c r="AV523" s="143"/>
      <c r="BK523" s="135"/>
      <c r="BM523" s="176"/>
      <c r="BN523" s="139"/>
      <c r="BO523" s="136"/>
      <c r="BQ523" s="148"/>
      <c r="BR523" s="136"/>
      <c r="BS523" s="149"/>
      <c r="BT523" s="136"/>
      <c r="BW523" s="135"/>
    </row>
    <row r="524" spans="14:75" x14ac:dyDescent="0.2">
      <c r="AN524" s="232" t="s">
        <v>51</v>
      </c>
      <c r="AO524" s="233"/>
      <c r="AP524" s="234"/>
      <c r="AQ524" s="234"/>
      <c r="AR524" s="235">
        <f>SUM(AR521:AR523)</f>
        <v>0</v>
      </c>
      <c r="AS524" s="235"/>
      <c r="AT524" s="135"/>
      <c r="AV524" s="143"/>
      <c r="BK524" s="135"/>
      <c r="BM524" s="176"/>
      <c r="BN524" s="139"/>
      <c r="BO524" s="136"/>
      <c r="BQ524" s="148"/>
      <c r="BR524" s="136"/>
      <c r="BS524" s="149"/>
      <c r="BT524" s="136"/>
      <c r="BW524" s="135"/>
    </row>
    <row r="525" spans="14:75" x14ac:dyDescent="0.2">
      <c r="AN525" s="197" t="s">
        <v>53</v>
      </c>
      <c r="AO525" s="198"/>
      <c r="AP525" s="199"/>
      <c r="AQ525" s="199"/>
      <c r="AR525" s="200"/>
      <c r="AS525" s="153"/>
      <c r="AT525" s="135"/>
      <c r="AV525" s="143"/>
      <c r="BK525" s="135"/>
      <c r="BL525" s="176"/>
      <c r="BM525" s="176"/>
      <c r="BN525" s="139"/>
      <c r="BO525" s="136"/>
      <c r="BQ525" s="148"/>
      <c r="BR525" s="136"/>
      <c r="BS525" s="149"/>
      <c r="BT525" s="136"/>
      <c r="BW525" s="135"/>
    </row>
    <row r="526" spans="14:75" x14ac:dyDescent="0.2">
      <c r="AN526" s="224" t="s">
        <v>54</v>
      </c>
      <c r="AO526" s="225" t="s">
        <v>55</v>
      </c>
      <c r="AP526" s="226">
        <v>1</v>
      </c>
      <c r="AQ526" s="226">
        <v>1600.8</v>
      </c>
      <c r="AR526" s="215">
        <f>+ROUND(AP526*AQ526,2)</f>
        <v>1600.8</v>
      </c>
      <c r="AS526" s="194"/>
      <c r="AT526" s="135"/>
      <c r="AV526" s="143"/>
      <c r="BK526" s="135"/>
      <c r="BL526" s="176"/>
      <c r="BM526" s="176"/>
      <c r="BN526" s="139"/>
      <c r="BO526" s="136"/>
      <c r="BQ526" s="148"/>
      <c r="BR526" s="136"/>
      <c r="BS526" s="149"/>
      <c r="BT526" s="136"/>
      <c r="BW526" s="135"/>
    </row>
    <row r="527" spans="14:75" x14ac:dyDescent="0.2">
      <c r="AN527" s="224" t="s">
        <v>56</v>
      </c>
      <c r="AO527" s="225" t="s">
        <v>55</v>
      </c>
      <c r="AP527" s="226">
        <v>0.5</v>
      </c>
      <c r="AQ527" s="226">
        <v>1354.6999999999998</v>
      </c>
      <c r="AR527" s="215">
        <f>+ROUND(AP527*AQ527,2)</f>
        <v>677.35</v>
      </c>
      <c r="AS527" s="194"/>
      <c r="AT527" s="135"/>
      <c r="AV527" s="143"/>
      <c r="BK527" s="135"/>
      <c r="BL527" s="176"/>
      <c r="BM527" s="176"/>
      <c r="BN527" s="139"/>
      <c r="BO527" s="136"/>
      <c r="BQ527" s="148"/>
      <c r="BR527" s="136"/>
      <c r="BS527" s="149"/>
      <c r="BT527" s="136"/>
      <c r="BW527" s="135"/>
    </row>
    <row r="528" spans="14:75" x14ac:dyDescent="0.2">
      <c r="AN528" s="248"/>
      <c r="AO528" s="249"/>
      <c r="AP528" s="219"/>
      <c r="AQ528" s="219"/>
      <c r="AR528" s="215"/>
      <c r="AS528" s="194"/>
      <c r="AT528" s="135"/>
      <c r="AV528" s="143"/>
      <c r="BK528" s="135"/>
      <c r="BL528" s="176"/>
      <c r="BM528" s="176"/>
      <c r="BN528" s="139"/>
      <c r="BO528" s="136"/>
      <c r="BQ528" s="148"/>
      <c r="BR528" s="136"/>
      <c r="BS528" s="149"/>
      <c r="BT528" s="136"/>
      <c r="BW528" s="135"/>
    </row>
    <row r="529" spans="40:76" x14ac:dyDescent="0.2">
      <c r="AN529" s="232" t="s">
        <v>57</v>
      </c>
      <c r="AO529" s="233"/>
      <c r="AP529" s="234"/>
      <c r="AQ529" s="234"/>
      <c r="AR529" s="235">
        <f>SUM(AR526:AR528)</f>
        <v>2278.15</v>
      </c>
      <c r="AT529" s="135"/>
      <c r="AV529" s="143"/>
      <c r="BK529" s="135"/>
      <c r="BL529" s="176"/>
      <c r="BM529" s="176"/>
      <c r="BN529" s="139"/>
      <c r="BO529" s="136"/>
      <c r="BQ529" s="148"/>
      <c r="BR529" s="136"/>
      <c r="BS529" s="149"/>
      <c r="BT529" s="136"/>
      <c r="BW529" s="135"/>
    </row>
    <row r="530" spans="40:76" x14ac:dyDescent="0.2">
      <c r="AN530" s="197" t="s">
        <v>58</v>
      </c>
      <c r="AO530" s="198"/>
      <c r="AP530" s="199"/>
      <c r="AQ530" s="199"/>
      <c r="AR530" s="200"/>
      <c r="AS530" s="153"/>
      <c r="AT530" s="135"/>
      <c r="AV530" s="143"/>
      <c r="BK530" s="135"/>
      <c r="BL530" s="176"/>
      <c r="BM530" s="176"/>
      <c r="BN530" s="139"/>
      <c r="BO530" s="136"/>
      <c r="BQ530" s="148"/>
      <c r="BR530" s="136"/>
      <c r="BS530" s="149"/>
      <c r="BT530" s="136"/>
      <c r="BW530" s="135"/>
    </row>
    <row r="531" spans="40:76" x14ac:dyDescent="0.2">
      <c r="AN531" s="252" t="s">
        <v>59</v>
      </c>
      <c r="AO531" s="213" t="s">
        <v>60</v>
      </c>
      <c r="AP531" s="226">
        <v>6</v>
      </c>
      <c r="AQ531" s="226">
        <v>1.9600688000000004</v>
      </c>
      <c r="AR531" s="215">
        <f>+ROUND(AP531*AQ531,2)</f>
        <v>11.76</v>
      </c>
      <c r="AS531" s="194"/>
      <c r="AT531" s="135"/>
      <c r="AV531" s="143"/>
      <c r="BK531" s="176"/>
      <c r="BL531" s="176"/>
      <c r="BM531" s="176"/>
      <c r="BN531" s="139"/>
      <c r="BO531" s="136"/>
      <c r="BQ531" s="148"/>
      <c r="BR531" s="136"/>
      <c r="BS531" s="149"/>
      <c r="BT531" s="136"/>
      <c r="BW531" s="135"/>
    </row>
    <row r="532" spans="40:76" x14ac:dyDescent="0.2">
      <c r="AN532" s="202" t="s">
        <v>62</v>
      </c>
      <c r="AO532" s="250"/>
      <c r="AP532" s="168"/>
      <c r="AQ532" s="168"/>
      <c r="AR532" s="251">
        <f>SUM(AR531:AR531)</f>
        <v>11.76</v>
      </c>
      <c r="AS532" s="194"/>
      <c r="AT532" s="135"/>
      <c r="AV532" s="143"/>
      <c r="AW532" s="167"/>
      <c r="BK532" s="176"/>
      <c r="BM532" s="176"/>
      <c r="BN532" s="139"/>
      <c r="BO532" s="136"/>
      <c r="BQ532" s="148"/>
      <c r="BR532" s="136"/>
      <c r="BS532" s="149"/>
      <c r="BT532" s="136"/>
      <c r="BW532" s="135"/>
    </row>
    <row r="533" spans="40:76" x14ac:dyDescent="0.2">
      <c r="AN533" s="253" t="s">
        <v>63</v>
      </c>
      <c r="AO533" s="233"/>
      <c r="AP533" s="254" t="s">
        <v>64</v>
      </c>
      <c r="AQ533" s="255"/>
      <c r="AR533" s="256">
        <f>+AR524+AR529+AR532</f>
        <v>2289.9100000000003</v>
      </c>
      <c r="AS533" s="241">
        <f>+AR533*AS517</f>
        <v>45798.200000000004</v>
      </c>
      <c r="AT533" s="135"/>
      <c r="AV533" s="143"/>
      <c r="AW533" s="135"/>
      <c r="AX533" s="135"/>
      <c r="AY533" s="135"/>
      <c r="AZ533" s="135"/>
      <c r="BA533" s="135"/>
      <c r="BB533" s="135"/>
      <c r="BC533" s="135"/>
      <c r="BK533" s="176"/>
      <c r="BL533" s="176"/>
      <c r="BM533" s="176"/>
      <c r="BN533" s="139"/>
      <c r="BO533" s="136"/>
      <c r="BQ533" s="148"/>
      <c r="BR533" s="136"/>
      <c r="BS533" s="149"/>
      <c r="BT533" s="136"/>
      <c r="BW533" s="135"/>
    </row>
    <row r="534" spans="40:76" x14ac:dyDescent="0.2">
      <c r="AN534" s="152"/>
      <c r="AO534" s="148"/>
      <c r="AP534" s="206"/>
      <c r="AQ534" s="194"/>
      <c r="AR534" s="144"/>
      <c r="AS534" s="194"/>
      <c r="AT534" s="135"/>
      <c r="AV534" s="143"/>
      <c r="AW534" s="135"/>
      <c r="AX534" s="135"/>
      <c r="AY534" s="135"/>
      <c r="AZ534" s="135"/>
      <c r="BA534" s="135"/>
      <c r="BB534" s="135"/>
      <c r="BC534" s="135"/>
      <c r="BK534" s="176"/>
      <c r="BL534" s="176"/>
      <c r="BM534" s="176"/>
      <c r="BN534" s="139"/>
      <c r="BO534" s="136"/>
      <c r="BQ534" s="148"/>
      <c r="BR534" s="136"/>
      <c r="BS534" s="149"/>
      <c r="BT534" s="136"/>
      <c r="BW534" s="135"/>
    </row>
    <row r="535" spans="40:76" x14ac:dyDescent="0.2">
      <c r="AN535" s="155" t="s">
        <v>416</v>
      </c>
      <c r="AO535" s="169"/>
      <c r="AP535" s="172"/>
      <c r="AQ535" s="172"/>
      <c r="AR535" s="173"/>
      <c r="AS535" s="154"/>
      <c r="AT535" s="135"/>
      <c r="AV535" s="143"/>
      <c r="AW535" s="135"/>
      <c r="AX535" s="135"/>
      <c r="AY535" s="135"/>
      <c r="AZ535" s="135"/>
      <c r="BA535" s="135"/>
      <c r="BB535" s="135"/>
      <c r="BC535" s="135"/>
      <c r="BK535" s="176"/>
      <c r="BL535" s="176"/>
      <c r="BM535" s="176"/>
      <c r="BN535" s="139"/>
      <c r="BO535" s="136"/>
      <c r="BQ535" s="148"/>
      <c r="BR535" s="136"/>
      <c r="BS535" s="149"/>
      <c r="BT535" s="136"/>
      <c r="BW535" s="135"/>
    </row>
    <row r="536" spans="40:76" x14ac:dyDescent="0.2">
      <c r="AN536" s="177" t="s">
        <v>418</v>
      </c>
      <c r="AO536" s="150"/>
      <c r="AP536" s="178"/>
      <c r="AQ536" s="149"/>
      <c r="AR536" s="179" t="str">
        <f>$G$93</f>
        <v>Gl</v>
      </c>
      <c r="AS536" s="180">
        <f>$H$93</f>
        <v>1</v>
      </c>
      <c r="AT536" s="135"/>
      <c r="AV536" s="143"/>
      <c r="AW536" s="135"/>
      <c r="AX536" s="135"/>
      <c r="AY536" s="135"/>
      <c r="AZ536" s="135"/>
      <c r="BA536" s="135"/>
      <c r="BB536" s="135"/>
      <c r="BC536" s="135"/>
      <c r="BK536" s="176"/>
      <c r="BL536" s="176"/>
      <c r="BM536" s="176"/>
      <c r="BN536" s="139"/>
      <c r="BO536" s="136"/>
      <c r="BQ536" s="148"/>
      <c r="BR536" s="136"/>
      <c r="BS536" s="149"/>
      <c r="BT536" s="136"/>
      <c r="BW536" s="135"/>
    </row>
    <row r="537" spans="40:76" ht="16.5" thickBot="1" x14ac:dyDescent="0.25">
      <c r="AN537" s="183"/>
      <c r="AO537" s="184"/>
      <c r="AP537" s="185"/>
      <c r="AQ537" s="185"/>
      <c r="AR537" s="186"/>
      <c r="AT537" s="135"/>
      <c r="AV537" s="143"/>
      <c r="AW537" s="135"/>
      <c r="AX537" s="135"/>
      <c r="AY537" s="135"/>
      <c r="AZ537" s="135"/>
      <c r="BA537" s="135"/>
      <c r="BB537" s="135"/>
      <c r="BC537" s="135"/>
      <c r="BK537" s="176"/>
      <c r="BL537" s="176"/>
      <c r="BM537" s="176"/>
      <c r="BN537" s="139"/>
      <c r="BO537" s="136"/>
      <c r="BQ537" s="148"/>
      <c r="BR537" s="136"/>
      <c r="BS537" s="149"/>
      <c r="BT537" s="136"/>
      <c r="BW537" s="135"/>
    </row>
    <row r="538" spans="40:76" ht="16.5" thickTop="1" x14ac:dyDescent="0.2">
      <c r="AN538" s="191" t="s">
        <v>31</v>
      </c>
      <c r="AO538" s="192" t="s">
        <v>32</v>
      </c>
      <c r="AP538" s="192" t="s">
        <v>33</v>
      </c>
      <c r="AQ538" s="192" t="s">
        <v>1</v>
      </c>
      <c r="AR538" s="192" t="s">
        <v>34</v>
      </c>
      <c r="AS538" s="193" t="s">
        <v>76</v>
      </c>
      <c r="AT538" s="135"/>
      <c r="AV538" s="143"/>
      <c r="AW538" s="135"/>
      <c r="AX538" s="135"/>
      <c r="AY538" s="135"/>
      <c r="AZ538" s="135"/>
      <c r="BA538" s="135"/>
      <c r="BB538" s="135"/>
      <c r="BC538" s="135"/>
      <c r="BK538" s="135"/>
      <c r="BL538" s="176"/>
      <c r="BM538" s="176"/>
      <c r="BN538" s="139"/>
      <c r="BO538" s="136"/>
      <c r="BQ538" s="148"/>
      <c r="BR538" s="136"/>
      <c r="BS538" s="149"/>
      <c r="BT538" s="136"/>
      <c r="BW538" s="135"/>
      <c r="BX538" s="369"/>
    </row>
    <row r="539" spans="40:76" x14ac:dyDescent="0.2">
      <c r="AN539" s="197" t="s">
        <v>37</v>
      </c>
      <c r="AO539" s="198"/>
      <c r="AP539" s="199"/>
      <c r="AQ539" s="199"/>
      <c r="AR539" s="200"/>
      <c r="AS539" s="201"/>
      <c r="AT539" s="135"/>
      <c r="AV539" s="143"/>
      <c r="AW539" s="135"/>
      <c r="AX539" s="135"/>
      <c r="AY539" s="135"/>
      <c r="AZ539" s="135"/>
      <c r="BA539" s="135"/>
      <c r="BB539" s="135"/>
      <c r="BC539" s="135"/>
      <c r="BK539" s="176"/>
      <c r="BL539" s="176"/>
      <c r="BM539" s="176"/>
      <c r="BN539" s="139"/>
      <c r="BO539" s="136"/>
      <c r="BQ539" s="148"/>
      <c r="BR539" s="136"/>
      <c r="BS539" s="149"/>
      <c r="BT539" s="136"/>
      <c r="BW539" s="135"/>
      <c r="BX539" s="369"/>
    </row>
    <row r="540" spans="40:76" x14ac:dyDescent="0.2">
      <c r="AN540" s="216"/>
      <c r="AO540" s="213"/>
      <c r="AP540" s="214"/>
      <c r="AQ540" s="214"/>
      <c r="AR540" s="215"/>
      <c r="AS540" s="201"/>
      <c r="AT540" s="135"/>
      <c r="AV540" s="143"/>
      <c r="AW540" s="135"/>
      <c r="AX540" s="135"/>
      <c r="AY540" s="135"/>
      <c r="AZ540" s="135"/>
      <c r="BA540" s="135"/>
      <c r="BB540" s="135"/>
      <c r="BC540" s="135"/>
      <c r="BK540" s="176"/>
      <c r="BL540" s="176"/>
      <c r="BM540" s="176"/>
      <c r="BN540" s="139"/>
      <c r="BO540" s="136"/>
      <c r="BQ540" s="148"/>
      <c r="BR540" s="136"/>
      <c r="BS540" s="149"/>
      <c r="BT540" s="136"/>
      <c r="BW540" s="135"/>
      <c r="BX540" s="369"/>
    </row>
    <row r="541" spans="40:76" x14ac:dyDescent="0.2">
      <c r="AN541" s="216"/>
      <c r="AO541" s="213"/>
      <c r="AP541" s="214"/>
      <c r="AQ541" s="214"/>
      <c r="AR541" s="215"/>
      <c r="AS541" s="201"/>
      <c r="AT541" s="135"/>
      <c r="AV541" s="143"/>
      <c r="AW541" s="135"/>
      <c r="AX541" s="135"/>
      <c r="AY541" s="135"/>
      <c r="AZ541" s="135"/>
      <c r="BA541" s="135"/>
      <c r="BB541" s="135"/>
      <c r="BC541" s="135"/>
      <c r="BK541" s="176"/>
      <c r="BL541" s="176"/>
      <c r="BM541" s="176"/>
      <c r="BN541" s="139"/>
      <c r="BO541" s="136"/>
      <c r="BQ541" s="148"/>
      <c r="BR541" s="136"/>
      <c r="BS541" s="149"/>
      <c r="BT541" s="136"/>
      <c r="BW541" s="135"/>
      <c r="BX541" s="369"/>
    </row>
    <row r="542" spans="40:76" x14ac:dyDescent="0.2">
      <c r="AN542" s="224" t="s">
        <v>50</v>
      </c>
      <c r="AO542" s="225" t="s">
        <v>28</v>
      </c>
      <c r="AP542" s="226">
        <v>0.03</v>
      </c>
      <c r="AQ542" s="219"/>
      <c r="AR542" s="223"/>
      <c r="AS542" s="201"/>
      <c r="AT542" s="135"/>
      <c r="AV542" s="143"/>
      <c r="AW542" s="135"/>
      <c r="AX542" s="135"/>
      <c r="AY542" s="135"/>
      <c r="AZ542" s="135"/>
      <c r="BA542" s="135"/>
      <c r="BB542" s="135"/>
      <c r="BC542" s="135"/>
      <c r="BK542" s="176"/>
      <c r="BL542" s="176"/>
      <c r="BM542" s="176"/>
      <c r="BN542" s="139"/>
      <c r="BO542" s="136"/>
      <c r="BQ542" s="148"/>
      <c r="BR542" s="136"/>
      <c r="BS542" s="149"/>
      <c r="BT542" s="136"/>
      <c r="BW542" s="135"/>
    </row>
    <row r="543" spans="40:76" x14ac:dyDescent="0.2">
      <c r="AN543" s="232" t="s">
        <v>51</v>
      </c>
      <c r="AO543" s="233"/>
      <c r="AP543" s="234"/>
      <c r="AQ543" s="234"/>
      <c r="AR543" s="235">
        <f>SUM(AR540:AR542)</f>
        <v>0</v>
      </c>
      <c r="AS543" s="235"/>
      <c r="AT543" s="135"/>
      <c r="AV543" s="143"/>
      <c r="AW543" s="135"/>
      <c r="AX543" s="135"/>
      <c r="AY543" s="135"/>
      <c r="AZ543" s="135"/>
      <c r="BA543" s="135"/>
      <c r="BB543" s="135"/>
      <c r="BC543" s="135"/>
      <c r="BK543" s="176"/>
      <c r="BL543" s="176"/>
      <c r="BM543" s="176"/>
      <c r="BN543" s="139"/>
      <c r="BO543" s="136"/>
      <c r="BQ543" s="148"/>
      <c r="BR543" s="136"/>
      <c r="BS543" s="149"/>
      <c r="BT543" s="136"/>
      <c r="BW543" s="135"/>
    </row>
    <row r="544" spans="40:76" x14ac:dyDescent="0.2">
      <c r="AN544" s="197" t="s">
        <v>53</v>
      </c>
      <c r="AO544" s="198"/>
      <c r="AP544" s="199"/>
      <c r="AQ544" s="199"/>
      <c r="AR544" s="200"/>
      <c r="AS544" s="153"/>
      <c r="AT544" s="135"/>
      <c r="AV544" s="143"/>
      <c r="AW544" s="135"/>
      <c r="AX544" s="135"/>
      <c r="AY544" s="135"/>
      <c r="AZ544" s="135"/>
      <c r="BA544" s="135"/>
      <c r="BB544" s="135"/>
      <c r="BC544" s="135"/>
      <c r="BK544" s="176"/>
      <c r="BL544" s="176"/>
      <c r="BM544" s="176"/>
      <c r="BN544" s="139"/>
      <c r="BO544" s="136"/>
      <c r="BQ544" s="148"/>
      <c r="BR544" s="136"/>
      <c r="BS544" s="149"/>
      <c r="BT544" s="136"/>
      <c r="BW544" s="135"/>
    </row>
    <row r="545" spans="32:75" x14ac:dyDescent="0.2">
      <c r="AN545" s="224" t="s">
        <v>54</v>
      </c>
      <c r="AO545" s="225" t="s">
        <v>55</v>
      </c>
      <c r="AP545" s="226">
        <v>20</v>
      </c>
      <c r="AQ545" s="226">
        <v>1600.8</v>
      </c>
      <c r="AR545" s="215">
        <f>+ROUND(AP545*AQ545,2)</f>
        <v>32016</v>
      </c>
      <c r="AS545" s="194"/>
      <c r="AT545" s="135"/>
      <c r="AV545" s="143"/>
      <c r="AW545" s="135"/>
      <c r="AX545" s="135"/>
      <c r="AY545" s="135"/>
      <c r="AZ545" s="135"/>
      <c r="BA545" s="135"/>
      <c r="BB545" s="135"/>
      <c r="BC545" s="135"/>
      <c r="BK545" s="176"/>
      <c r="BL545" s="176"/>
      <c r="BM545" s="176"/>
      <c r="BN545" s="139"/>
      <c r="BO545" s="136"/>
      <c r="BQ545" s="148"/>
      <c r="BR545" s="136"/>
      <c r="BS545" s="149"/>
      <c r="BT545" s="136"/>
      <c r="BW545" s="135"/>
    </row>
    <row r="546" spans="32:75" x14ac:dyDescent="0.2">
      <c r="AN546" s="224" t="s">
        <v>56</v>
      </c>
      <c r="AO546" s="225" t="s">
        <v>55</v>
      </c>
      <c r="AP546" s="226">
        <v>20</v>
      </c>
      <c r="AQ546" s="226">
        <v>1354.6999999999998</v>
      </c>
      <c r="AR546" s="215">
        <f>+ROUND(AP546*AQ546,2)</f>
        <v>27094</v>
      </c>
      <c r="AS546" s="194"/>
      <c r="AT546" s="135"/>
      <c r="AV546" s="143"/>
      <c r="AW546" s="135"/>
      <c r="AX546" s="135"/>
      <c r="AY546" s="135"/>
      <c r="AZ546" s="135"/>
      <c r="BA546" s="135"/>
      <c r="BB546" s="135"/>
      <c r="BC546" s="135"/>
      <c r="BK546" s="176"/>
      <c r="BL546" s="176"/>
      <c r="BM546" s="176"/>
      <c r="BN546" s="139"/>
      <c r="BO546" s="136"/>
      <c r="BQ546" s="148"/>
      <c r="BR546" s="136"/>
      <c r="BS546" s="149"/>
      <c r="BT546" s="136"/>
      <c r="BW546" s="135"/>
    </row>
    <row r="547" spans="32:75" x14ac:dyDescent="0.2">
      <c r="AN547" s="248"/>
      <c r="AO547" s="249"/>
      <c r="AP547" s="219"/>
      <c r="AQ547" s="219"/>
      <c r="AR547" s="215"/>
      <c r="AS547" s="194"/>
      <c r="AT547" s="135"/>
      <c r="AV547" s="143"/>
      <c r="AW547" s="135"/>
      <c r="AX547" s="135"/>
      <c r="AY547" s="135"/>
      <c r="AZ547" s="135"/>
      <c r="BA547" s="135"/>
      <c r="BB547" s="135"/>
      <c r="BC547" s="135"/>
      <c r="BK547" s="176"/>
      <c r="BL547" s="176"/>
      <c r="BM547" s="176"/>
      <c r="BN547" s="139"/>
      <c r="BO547" s="136"/>
      <c r="BQ547" s="148"/>
      <c r="BR547" s="136"/>
      <c r="BS547" s="149"/>
      <c r="BT547" s="136"/>
      <c r="BW547" s="135"/>
    </row>
    <row r="548" spans="32:75" x14ac:dyDescent="0.2">
      <c r="AG548" s="149"/>
      <c r="AH548" s="149"/>
      <c r="AI548" s="149"/>
      <c r="AJ548" s="149"/>
      <c r="AK548" s="149"/>
      <c r="AL548" s="149"/>
      <c r="AM548" s="149"/>
      <c r="AN548" s="232" t="s">
        <v>57</v>
      </c>
      <c r="AO548" s="233"/>
      <c r="AP548" s="234"/>
      <c r="AQ548" s="234"/>
      <c r="AR548" s="235">
        <f>SUM(AR545:AR547)</f>
        <v>59110</v>
      </c>
      <c r="AT548" s="135"/>
      <c r="AV548" s="143"/>
      <c r="AW548" s="135"/>
      <c r="AX548" s="135"/>
      <c r="AY548" s="135"/>
      <c r="AZ548" s="135"/>
      <c r="BA548" s="135"/>
      <c r="BB548" s="135"/>
      <c r="BC548" s="135"/>
      <c r="BK548" s="176"/>
      <c r="BL548" s="176"/>
      <c r="BM548" s="176"/>
      <c r="BN548" s="139"/>
      <c r="BO548" s="136"/>
      <c r="BQ548" s="148"/>
      <c r="BR548" s="136"/>
      <c r="BS548" s="149"/>
      <c r="BT548" s="136"/>
      <c r="BW548" s="135"/>
    </row>
    <row r="549" spans="32:75" x14ac:dyDescent="0.2">
      <c r="AF549" s="149"/>
      <c r="AN549" s="197" t="s">
        <v>58</v>
      </c>
      <c r="AO549" s="198"/>
      <c r="AP549" s="199"/>
      <c r="AQ549" s="199"/>
      <c r="AR549" s="200"/>
      <c r="AS549" s="153"/>
      <c r="AT549" s="135"/>
      <c r="AV549" s="143"/>
      <c r="AW549" s="135"/>
      <c r="AX549" s="135"/>
      <c r="AY549" s="135"/>
      <c r="AZ549" s="135"/>
      <c r="BA549" s="135"/>
      <c r="BB549" s="135"/>
      <c r="BC549" s="135"/>
      <c r="BK549" s="176"/>
      <c r="BL549" s="194"/>
      <c r="BM549" s="176"/>
      <c r="BN549" s="139"/>
      <c r="BO549" s="136"/>
      <c r="BQ549" s="148"/>
      <c r="BR549" s="136"/>
      <c r="BS549" s="149"/>
      <c r="BT549" s="136"/>
      <c r="BW549" s="135"/>
    </row>
    <row r="550" spans="32:75" x14ac:dyDescent="0.2">
      <c r="AN550" s="252" t="s">
        <v>59</v>
      </c>
      <c r="AO550" s="213" t="s">
        <v>60</v>
      </c>
      <c r="AP550" s="226">
        <v>400</v>
      </c>
      <c r="AQ550" s="226">
        <v>1.9600688000000004</v>
      </c>
      <c r="AR550" s="215">
        <f>+ROUND(AP550*AQ550,2)</f>
        <v>784.03</v>
      </c>
      <c r="AS550" s="194"/>
      <c r="AT550" s="135"/>
      <c r="AV550" s="143"/>
      <c r="AW550" s="135"/>
      <c r="AX550" s="135"/>
      <c r="AY550" s="135"/>
      <c r="AZ550" s="135"/>
      <c r="BA550" s="135"/>
      <c r="BB550" s="135"/>
      <c r="BC550" s="135"/>
      <c r="BK550" s="176"/>
      <c r="BL550" s="194"/>
      <c r="BM550" s="176"/>
      <c r="BN550" s="139"/>
      <c r="BO550" s="136"/>
      <c r="BQ550" s="148"/>
      <c r="BR550" s="136"/>
      <c r="BS550" s="149"/>
      <c r="BT550" s="136"/>
      <c r="BW550" s="135"/>
    </row>
    <row r="551" spans="32:75" x14ac:dyDescent="0.2">
      <c r="AN551" s="202" t="s">
        <v>62</v>
      </c>
      <c r="AO551" s="250"/>
      <c r="AP551" s="168"/>
      <c r="AQ551" s="168"/>
      <c r="AR551" s="251">
        <f>SUM(AR550:AR550)</f>
        <v>784.03</v>
      </c>
      <c r="AS551" s="194"/>
      <c r="AT551" s="135"/>
      <c r="AV551" s="143"/>
      <c r="AW551" s="135"/>
      <c r="AX551" s="135"/>
      <c r="AY551" s="135"/>
      <c r="AZ551" s="135"/>
      <c r="BA551" s="135"/>
      <c r="BB551" s="135"/>
      <c r="BC551" s="135"/>
      <c r="BK551" s="176"/>
      <c r="BL551" s="194"/>
      <c r="BM551" s="176"/>
      <c r="BN551" s="139"/>
      <c r="BO551" s="136"/>
      <c r="BQ551" s="148"/>
      <c r="BR551" s="136"/>
      <c r="BS551" s="149"/>
      <c r="BT551" s="136"/>
      <c r="BW551" s="135"/>
    </row>
    <row r="552" spans="32:75" x14ac:dyDescent="0.2">
      <c r="AN552" s="253" t="s">
        <v>63</v>
      </c>
      <c r="AO552" s="233"/>
      <c r="AP552" s="254" t="s">
        <v>64</v>
      </c>
      <c r="AQ552" s="255"/>
      <c r="AR552" s="256">
        <f>+AR543+AR548+AR551</f>
        <v>59894.03</v>
      </c>
      <c r="AS552" s="194"/>
      <c r="AT552" s="135"/>
      <c r="AV552" s="143"/>
      <c r="AW552" s="135"/>
      <c r="AX552" s="135"/>
      <c r="AY552" s="135"/>
      <c r="AZ552" s="135"/>
      <c r="BA552" s="135"/>
      <c r="BB552" s="135"/>
      <c r="BC552" s="135"/>
      <c r="BK552" s="176"/>
      <c r="BL552" s="176"/>
      <c r="BM552" s="176"/>
      <c r="BN552" s="139"/>
      <c r="BO552" s="136"/>
      <c r="BQ552" s="148"/>
      <c r="BR552" s="136"/>
      <c r="BS552" s="149"/>
      <c r="BT552" s="136"/>
      <c r="BW552" s="135"/>
    </row>
    <row r="553" spans="32:75" x14ac:dyDescent="0.2">
      <c r="AN553" s="152"/>
      <c r="AO553" s="148"/>
      <c r="AP553" s="206"/>
      <c r="AQ553" s="194"/>
      <c r="AR553" s="144"/>
      <c r="AS553" s="194"/>
      <c r="AT553" s="363"/>
      <c r="AV553" s="143"/>
      <c r="AW553" s="135"/>
      <c r="AX553" s="135"/>
      <c r="AY553" s="135"/>
      <c r="AZ553" s="135"/>
      <c r="BA553" s="135"/>
      <c r="BB553" s="135"/>
      <c r="BC553" s="135"/>
      <c r="BK553" s="176"/>
      <c r="BL553" s="176"/>
      <c r="BM553" s="176"/>
      <c r="BN553" s="139"/>
      <c r="BO553" s="136"/>
      <c r="BQ553" s="148"/>
      <c r="BR553" s="136"/>
      <c r="BS553" s="149"/>
      <c r="BT553" s="136"/>
      <c r="BW553" s="135"/>
    </row>
    <row r="554" spans="32:75" x14ac:dyDescent="0.2">
      <c r="AN554" s="155" t="s">
        <v>416</v>
      </c>
      <c r="AO554" s="169"/>
      <c r="AP554" s="172"/>
      <c r="AQ554" s="172"/>
      <c r="AR554" s="173"/>
      <c r="AS554" s="154"/>
      <c r="AT554" s="363"/>
      <c r="AU554" s="149"/>
      <c r="AV554" s="143"/>
      <c r="AW554" s="135"/>
      <c r="AX554" s="135"/>
      <c r="AY554" s="135"/>
      <c r="AZ554" s="135"/>
      <c r="BA554" s="135"/>
      <c r="BB554" s="135"/>
      <c r="BC554" s="135"/>
      <c r="BK554" s="176"/>
      <c r="BL554" s="176"/>
      <c r="BM554" s="176"/>
      <c r="BN554" s="139"/>
      <c r="BO554" s="136"/>
      <c r="BQ554" s="148"/>
      <c r="BR554" s="136"/>
      <c r="BS554" s="149"/>
      <c r="BT554" s="136"/>
      <c r="BW554" s="135"/>
    </row>
    <row r="555" spans="32:75" x14ac:dyDescent="0.2">
      <c r="AN555" s="177" t="s">
        <v>419</v>
      </c>
      <c r="AO555" s="150"/>
      <c r="AP555" s="178"/>
      <c r="AQ555" s="149"/>
      <c r="AR555" s="179" t="str">
        <f>$G$94</f>
        <v>Gl</v>
      </c>
      <c r="AS555" s="180">
        <f>$H$94</f>
        <v>1</v>
      </c>
      <c r="AT555" s="362"/>
      <c r="AV555" s="143"/>
      <c r="AW555" s="135"/>
      <c r="AX555" s="135"/>
      <c r="AY555" s="135"/>
      <c r="AZ555" s="135"/>
      <c r="BA555" s="135"/>
      <c r="BB555" s="135"/>
      <c r="BC555" s="135"/>
      <c r="BK555" s="194"/>
      <c r="BL555" s="176"/>
      <c r="BM555" s="176"/>
      <c r="BN555" s="139"/>
      <c r="BO555" s="136"/>
      <c r="BQ555" s="148"/>
      <c r="BR555" s="136"/>
      <c r="BS555" s="149"/>
      <c r="BT555" s="136"/>
      <c r="BW555" s="135"/>
    </row>
    <row r="556" spans="32:75" ht="16.5" thickBot="1" x14ac:dyDescent="0.25">
      <c r="AN556" s="364"/>
      <c r="AO556" s="184"/>
      <c r="AP556" s="185"/>
      <c r="AQ556" s="185"/>
      <c r="AR556" s="186"/>
      <c r="AT556" s="362"/>
      <c r="AV556" s="143"/>
      <c r="AW556" s="135"/>
      <c r="AX556" s="135"/>
      <c r="AY556" s="135"/>
      <c r="AZ556" s="135"/>
      <c r="BA556" s="135"/>
      <c r="BB556" s="135"/>
      <c r="BC556" s="135"/>
      <c r="BK556" s="194"/>
      <c r="BL556" s="176"/>
      <c r="BM556" s="176"/>
      <c r="BN556" s="139"/>
      <c r="BO556" s="136"/>
      <c r="BQ556" s="148"/>
      <c r="BR556" s="136"/>
      <c r="BS556" s="149"/>
      <c r="BT556" s="136"/>
      <c r="BW556" s="135"/>
    </row>
    <row r="557" spans="32:75" ht="16.5" thickTop="1" x14ac:dyDescent="0.2">
      <c r="AN557" s="191" t="s">
        <v>31</v>
      </c>
      <c r="AO557" s="192" t="s">
        <v>32</v>
      </c>
      <c r="AP557" s="192" t="s">
        <v>33</v>
      </c>
      <c r="AQ557" s="192" t="s">
        <v>1</v>
      </c>
      <c r="AR557" s="192" t="s">
        <v>34</v>
      </c>
      <c r="AS557" s="193" t="s">
        <v>76</v>
      </c>
      <c r="AT557" s="363"/>
      <c r="AV557" s="143"/>
      <c r="AW557" s="135"/>
      <c r="AX557" s="135"/>
      <c r="AY557" s="135"/>
      <c r="AZ557" s="135"/>
      <c r="BA557" s="135"/>
      <c r="BB557" s="135"/>
      <c r="BC557" s="135"/>
      <c r="BK557" s="194"/>
      <c r="BL557" s="176"/>
      <c r="BM557" s="176"/>
      <c r="BN557" s="139"/>
      <c r="BO557" s="136"/>
      <c r="BQ557" s="148"/>
      <c r="BR557" s="136"/>
      <c r="BS557" s="149"/>
      <c r="BT557" s="136"/>
      <c r="BW557" s="135"/>
    </row>
    <row r="558" spans="32:75" x14ac:dyDescent="0.2">
      <c r="AN558" s="197" t="s">
        <v>37</v>
      </c>
      <c r="AO558" s="198"/>
      <c r="AP558" s="199"/>
      <c r="AQ558" s="199"/>
      <c r="AR558" s="200"/>
      <c r="AS558" s="201"/>
      <c r="AT558" s="363"/>
      <c r="AV558" s="143"/>
      <c r="AW558" s="135"/>
      <c r="AX558" s="135"/>
      <c r="AY558" s="135"/>
      <c r="AZ558" s="135"/>
      <c r="BA558" s="135"/>
      <c r="BB558" s="135"/>
      <c r="BC558" s="135"/>
      <c r="BK558" s="176"/>
      <c r="BL558" s="176"/>
      <c r="BM558" s="176"/>
      <c r="BN558" s="139"/>
      <c r="BO558" s="136"/>
      <c r="BQ558" s="148"/>
      <c r="BR558" s="136"/>
      <c r="BS558" s="149"/>
      <c r="BT558" s="136"/>
      <c r="BW558" s="135"/>
    </row>
    <row r="559" spans="32:75" x14ac:dyDescent="0.2">
      <c r="AN559" s="216" t="s">
        <v>287</v>
      </c>
      <c r="AO559" s="225" t="s">
        <v>49</v>
      </c>
      <c r="AP559" s="226">
        <v>48</v>
      </c>
      <c r="AQ559" s="226">
        <v>43311.46</v>
      </c>
      <c r="AR559" s="286">
        <f t="shared" ref="AR559:AR574" si="41">+ROUND(AP559*AQ559,2)</f>
        <v>2078950.08</v>
      </c>
      <c r="AS559" s="201"/>
      <c r="AT559" s="139"/>
      <c r="AV559" s="143"/>
      <c r="AW559" s="135"/>
      <c r="AX559" s="135"/>
      <c r="AY559" s="135"/>
      <c r="AZ559" s="135"/>
      <c r="BA559" s="135"/>
      <c r="BB559" s="135"/>
      <c r="BC559" s="135"/>
      <c r="BK559" s="176"/>
      <c r="BL559" s="176"/>
      <c r="BM559" s="176"/>
      <c r="BN559" s="139"/>
      <c r="BO559" s="136"/>
      <c r="BQ559" s="148"/>
      <c r="BR559" s="136"/>
      <c r="BS559" s="149"/>
      <c r="BT559" s="136"/>
      <c r="BW559" s="135"/>
    </row>
    <row r="560" spans="32:75" x14ac:dyDescent="0.2">
      <c r="AN560" s="216" t="s">
        <v>288</v>
      </c>
      <c r="AO560" s="225" t="s">
        <v>49</v>
      </c>
      <c r="AP560" s="226">
        <v>22</v>
      </c>
      <c r="AQ560" s="226">
        <v>38196.86</v>
      </c>
      <c r="AR560" s="286">
        <f t="shared" si="41"/>
        <v>840330.92</v>
      </c>
      <c r="AS560" s="201"/>
      <c r="AT560" s="139"/>
      <c r="AV560" s="143"/>
      <c r="AW560" s="135"/>
      <c r="AX560" s="135"/>
      <c r="AY560" s="135"/>
      <c r="AZ560" s="135"/>
      <c r="BA560" s="135"/>
      <c r="BB560" s="135"/>
      <c r="BC560" s="135"/>
      <c r="BK560" s="176"/>
      <c r="BL560" s="176"/>
      <c r="BM560" s="176"/>
      <c r="BN560" s="139"/>
      <c r="BO560" s="136"/>
      <c r="BQ560" s="148"/>
      <c r="BR560" s="136"/>
      <c r="BS560" s="149"/>
      <c r="BT560" s="136"/>
      <c r="BW560" s="135"/>
    </row>
    <row r="561" spans="40:75" x14ac:dyDescent="0.2">
      <c r="AN561" s="216" t="s">
        <v>289</v>
      </c>
      <c r="AO561" s="225" t="s">
        <v>49</v>
      </c>
      <c r="AP561" s="226">
        <v>73</v>
      </c>
      <c r="AQ561" s="226">
        <v>37622.270000000004</v>
      </c>
      <c r="AR561" s="286">
        <f t="shared" si="41"/>
        <v>2746425.71</v>
      </c>
      <c r="AS561" s="201"/>
      <c r="AT561" s="139"/>
      <c r="AV561" s="143"/>
      <c r="AW561" s="135"/>
      <c r="AX561" s="135"/>
      <c r="AY561" s="135"/>
      <c r="AZ561" s="135"/>
      <c r="BA561" s="135"/>
      <c r="BB561" s="135"/>
      <c r="BC561" s="135"/>
      <c r="BK561" s="176"/>
      <c r="BL561" s="176"/>
      <c r="BM561" s="176"/>
      <c r="BN561" s="139"/>
      <c r="BO561" s="136"/>
      <c r="BQ561" s="148"/>
      <c r="BR561" s="136"/>
      <c r="BS561" s="149"/>
      <c r="BT561" s="136"/>
      <c r="BW561" s="135"/>
    </row>
    <row r="562" spans="40:75" x14ac:dyDescent="0.2">
      <c r="AN562" s="216" t="s">
        <v>290</v>
      </c>
      <c r="AO562" s="225" t="s">
        <v>49</v>
      </c>
      <c r="AP562" s="226">
        <v>5</v>
      </c>
      <c r="AQ562" s="226">
        <v>41132.94</v>
      </c>
      <c r="AR562" s="286">
        <f t="shared" si="41"/>
        <v>205664.7</v>
      </c>
      <c r="AS562" s="201"/>
      <c r="AT562" s="139"/>
      <c r="AV562" s="143"/>
      <c r="AW562" s="135"/>
      <c r="AX562" s="135"/>
      <c r="AY562" s="135"/>
      <c r="AZ562" s="135"/>
      <c r="BA562" s="135"/>
      <c r="BB562" s="135"/>
      <c r="BC562" s="135"/>
      <c r="BK562" s="176"/>
      <c r="BM562" s="176"/>
      <c r="BN562" s="139"/>
      <c r="BO562" s="136"/>
      <c r="BQ562" s="148"/>
      <c r="BR562" s="136"/>
      <c r="BS562" s="149"/>
      <c r="BT562" s="136"/>
      <c r="BW562" s="135"/>
    </row>
    <row r="563" spans="40:75" x14ac:dyDescent="0.2">
      <c r="AN563" s="216" t="s">
        <v>291</v>
      </c>
      <c r="AO563" s="225" t="s">
        <v>28</v>
      </c>
      <c r="AP563" s="226">
        <v>1</v>
      </c>
      <c r="AQ563" s="226">
        <v>158788</v>
      </c>
      <c r="AR563" s="286">
        <f t="shared" si="41"/>
        <v>158788</v>
      </c>
      <c r="AS563" s="201"/>
      <c r="AT563" s="139"/>
      <c r="AV563" s="135"/>
      <c r="AW563" s="135"/>
      <c r="AX563" s="135"/>
      <c r="AY563" s="135"/>
      <c r="AZ563" s="135"/>
      <c r="BA563" s="135"/>
      <c r="BB563" s="135"/>
      <c r="BC563" s="135"/>
      <c r="BK563" s="176"/>
      <c r="BM563" s="176"/>
      <c r="BN563" s="139"/>
      <c r="BO563" s="136"/>
      <c r="BQ563" s="148"/>
      <c r="BR563" s="136"/>
      <c r="BS563" s="149"/>
      <c r="BT563" s="136"/>
      <c r="BW563" s="135"/>
    </row>
    <row r="564" spans="40:75" x14ac:dyDescent="0.2">
      <c r="AN564" s="216" t="s">
        <v>292</v>
      </c>
      <c r="AO564" s="225" t="s">
        <v>28</v>
      </c>
      <c r="AP564" s="226">
        <v>1</v>
      </c>
      <c r="AQ564" s="226">
        <v>1410564.9500000002</v>
      </c>
      <c r="AR564" s="286">
        <f t="shared" si="41"/>
        <v>1410564.95</v>
      </c>
      <c r="AS564" s="201"/>
      <c r="AT564" s="139"/>
      <c r="AV564" s="135"/>
      <c r="AW564" s="135"/>
      <c r="AX564" s="135"/>
      <c r="AY564" s="135"/>
      <c r="AZ564" s="135"/>
      <c r="BA564" s="135"/>
      <c r="BB564" s="135"/>
      <c r="BC564" s="135"/>
      <c r="BK564" s="176"/>
      <c r="BM564" s="176"/>
      <c r="BN564" s="139"/>
      <c r="BO564" s="136"/>
      <c r="BQ564" s="148"/>
      <c r="BR564" s="136"/>
      <c r="BS564" s="149"/>
      <c r="BT564" s="136"/>
      <c r="BW564" s="135"/>
    </row>
    <row r="565" spans="40:75" x14ac:dyDescent="0.2">
      <c r="AN565" s="216" t="s">
        <v>293</v>
      </c>
      <c r="AO565" s="225" t="s">
        <v>28</v>
      </c>
      <c r="AP565" s="226">
        <v>1</v>
      </c>
      <c r="AQ565" s="226">
        <v>2752853.2</v>
      </c>
      <c r="AR565" s="286">
        <f t="shared" si="41"/>
        <v>2752853.2</v>
      </c>
      <c r="AS565" s="201"/>
      <c r="AT565" s="139"/>
      <c r="AV565" s="135"/>
      <c r="AW565" s="135"/>
      <c r="AX565" s="135"/>
      <c r="AY565" s="135"/>
      <c r="AZ565" s="135"/>
      <c r="BA565" s="135"/>
      <c r="BB565" s="135"/>
      <c r="BC565" s="135"/>
      <c r="BK565" s="176"/>
      <c r="BM565" s="176"/>
      <c r="BN565" s="139"/>
      <c r="BO565" s="136"/>
      <c r="BQ565" s="148"/>
      <c r="BR565" s="136"/>
      <c r="BS565" s="149"/>
      <c r="BT565" s="136"/>
      <c r="BW565" s="135"/>
    </row>
    <row r="566" spans="40:75" x14ac:dyDescent="0.2">
      <c r="AN566" s="216" t="s">
        <v>294</v>
      </c>
      <c r="AO566" s="225" t="s">
        <v>28</v>
      </c>
      <c r="AP566" s="226">
        <v>1</v>
      </c>
      <c r="AQ566" s="226">
        <v>6045223.9400000004</v>
      </c>
      <c r="AR566" s="286">
        <f t="shared" si="41"/>
        <v>6045223.9400000004</v>
      </c>
      <c r="AS566" s="201"/>
      <c r="AT566" s="139"/>
      <c r="AV566" s="135"/>
      <c r="AW566" s="135"/>
      <c r="AX566" s="135"/>
      <c r="AY566" s="135"/>
      <c r="AZ566" s="135"/>
      <c r="BA566" s="135"/>
      <c r="BB566" s="135"/>
      <c r="BC566" s="135"/>
      <c r="BK566" s="176"/>
      <c r="BM566" s="176"/>
      <c r="BN566" s="139"/>
      <c r="BO566" s="136"/>
      <c r="BQ566" s="148"/>
      <c r="BR566" s="136"/>
      <c r="BS566" s="149"/>
      <c r="BT566" s="136"/>
      <c r="BW566" s="135"/>
    </row>
    <row r="567" spans="40:75" x14ac:dyDescent="0.2">
      <c r="AN567" s="216" t="s">
        <v>295</v>
      </c>
      <c r="AO567" s="225" t="s">
        <v>28</v>
      </c>
      <c r="AP567" s="226">
        <v>1</v>
      </c>
      <c r="AQ567" s="226">
        <v>975647.4</v>
      </c>
      <c r="AR567" s="286">
        <f t="shared" si="41"/>
        <v>975647.4</v>
      </c>
      <c r="AS567" s="201"/>
      <c r="AT567" s="139"/>
      <c r="AV567" s="135"/>
      <c r="AW567" s="135"/>
      <c r="AX567" s="135"/>
      <c r="AY567" s="135"/>
      <c r="AZ567" s="135"/>
      <c r="BA567" s="135"/>
      <c r="BB567" s="135"/>
      <c r="BC567" s="135"/>
      <c r="BK567" s="176"/>
      <c r="BM567" s="176"/>
      <c r="BN567" s="139"/>
      <c r="BO567" s="136"/>
      <c r="BQ567" s="148"/>
      <c r="BR567" s="136"/>
      <c r="BS567" s="149"/>
      <c r="BT567" s="136"/>
      <c r="BW567" s="135"/>
    </row>
    <row r="568" spans="40:75" x14ac:dyDescent="0.2">
      <c r="AN568" s="216" t="s">
        <v>296</v>
      </c>
      <c r="AO568" s="225" t="s">
        <v>28</v>
      </c>
      <c r="AP568" s="226">
        <v>1</v>
      </c>
      <c r="AQ568" s="226">
        <v>752700.06</v>
      </c>
      <c r="AR568" s="286">
        <f t="shared" si="41"/>
        <v>752700.06</v>
      </c>
      <c r="AS568" s="201"/>
      <c r="AT568" s="139"/>
      <c r="AV568" s="135"/>
      <c r="AW568" s="135"/>
      <c r="AX568" s="135"/>
      <c r="AY568" s="135"/>
      <c r="AZ568" s="135"/>
      <c r="BA568" s="135"/>
      <c r="BB568" s="135"/>
      <c r="BC568" s="135"/>
      <c r="BK568" s="135"/>
      <c r="BM568" s="176"/>
      <c r="BN568" s="139"/>
      <c r="BO568" s="136"/>
      <c r="BQ568" s="148"/>
      <c r="BR568" s="136"/>
      <c r="BS568" s="149"/>
      <c r="BT568" s="136"/>
      <c r="BW568" s="135"/>
    </row>
    <row r="569" spans="40:75" x14ac:dyDescent="0.2">
      <c r="AN569" s="216" t="s">
        <v>297</v>
      </c>
      <c r="AO569" s="225" t="s">
        <v>28</v>
      </c>
      <c r="AP569" s="226">
        <v>1</v>
      </c>
      <c r="AQ569" s="226">
        <v>281436.75</v>
      </c>
      <c r="AR569" s="286">
        <f t="shared" si="41"/>
        <v>281436.75</v>
      </c>
      <c r="AS569" s="201"/>
      <c r="AT569" s="139"/>
      <c r="AV569" s="135"/>
      <c r="AW569" s="135"/>
      <c r="AX569" s="135"/>
      <c r="AY569" s="135"/>
      <c r="AZ569" s="135"/>
      <c r="BA569" s="135"/>
      <c r="BB569" s="135"/>
      <c r="BC569" s="135"/>
      <c r="BK569" s="135"/>
      <c r="BM569" s="176"/>
      <c r="BN569" s="139"/>
      <c r="BO569" s="136"/>
      <c r="BQ569" s="148"/>
      <c r="BR569" s="136"/>
      <c r="BS569" s="149"/>
      <c r="BT569" s="136"/>
      <c r="BW569" s="135"/>
    </row>
    <row r="570" spans="40:75" x14ac:dyDescent="0.2">
      <c r="AN570" s="216" t="s">
        <v>298</v>
      </c>
      <c r="AO570" s="225" t="s">
        <v>28</v>
      </c>
      <c r="AP570" s="226">
        <v>1</v>
      </c>
      <c r="AQ570" s="226">
        <v>300199.2</v>
      </c>
      <c r="AR570" s="286">
        <f t="shared" si="41"/>
        <v>300199.2</v>
      </c>
      <c r="AS570" s="201"/>
      <c r="AT570" s="139"/>
      <c r="AV570" s="135"/>
      <c r="AW570" s="135"/>
      <c r="AX570" s="135"/>
      <c r="AY570" s="135"/>
      <c r="AZ570" s="135"/>
      <c r="BA570" s="135"/>
      <c r="BB570" s="135"/>
      <c r="BC570" s="135"/>
      <c r="BK570" s="135"/>
      <c r="BM570" s="176"/>
      <c r="BN570" s="139"/>
      <c r="BO570" s="136"/>
      <c r="BQ570" s="148"/>
      <c r="BR570" s="136"/>
      <c r="BS570" s="149"/>
      <c r="BT570" s="136"/>
      <c r="BW570" s="135"/>
    </row>
    <row r="571" spans="40:75" x14ac:dyDescent="0.2">
      <c r="AN571" s="216" t="s">
        <v>299</v>
      </c>
      <c r="AO571" s="225" t="s">
        <v>28</v>
      </c>
      <c r="AP571" s="226">
        <v>1</v>
      </c>
      <c r="AQ571" s="226">
        <v>4725082.55</v>
      </c>
      <c r="AR571" s="286">
        <f t="shared" si="41"/>
        <v>4725082.55</v>
      </c>
      <c r="AS571" s="201"/>
      <c r="AT571" s="139"/>
      <c r="AV571" s="135"/>
      <c r="AW571" s="135"/>
      <c r="AX571" s="135"/>
      <c r="AY571" s="135"/>
      <c r="AZ571" s="135"/>
      <c r="BA571" s="135"/>
      <c r="BB571" s="135"/>
      <c r="BC571" s="135"/>
      <c r="BK571" s="135"/>
      <c r="BM571" s="176"/>
      <c r="BN571" s="139"/>
      <c r="BO571" s="136"/>
      <c r="BQ571" s="148"/>
      <c r="BR571" s="136"/>
      <c r="BS571" s="149"/>
      <c r="BT571" s="136"/>
      <c r="BW571" s="135"/>
    </row>
    <row r="572" spans="40:75" x14ac:dyDescent="0.2">
      <c r="AN572" s="216" t="s">
        <v>300</v>
      </c>
      <c r="AO572" s="225" t="s">
        <v>28</v>
      </c>
      <c r="AP572" s="226">
        <v>1</v>
      </c>
      <c r="AQ572" s="226">
        <v>1570964.37</v>
      </c>
      <c r="AR572" s="286">
        <f t="shared" si="41"/>
        <v>1570964.37</v>
      </c>
      <c r="AS572" s="201"/>
      <c r="AT572" s="139"/>
      <c r="AV572" s="135"/>
      <c r="AW572" s="135"/>
      <c r="AX572" s="135"/>
      <c r="AY572" s="135"/>
      <c r="AZ572" s="135"/>
      <c r="BA572" s="135"/>
      <c r="BB572" s="135"/>
      <c r="BC572" s="135"/>
      <c r="BK572" s="135"/>
      <c r="BM572" s="176"/>
      <c r="BN572" s="139"/>
      <c r="BO572" s="136"/>
      <c r="BQ572" s="148"/>
      <c r="BR572" s="136"/>
      <c r="BS572" s="149"/>
      <c r="BT572" s="136"/>
      <c r="BW572" s="135"/>
    </row>
    <row r="573" spans="40:75" x14ac:dyDescent="0.2">
      <c r="AN573" s="216" t="s">
        <v>301</v>
      </c>
      <c r="AO573" s="225" t="s">
        <v>28</v>
      </c>
      <c r="AP573" s="226">
        <v>1</v>
      </c>
      <c r="AQ573" s="226">
        <v>22018189.129499998</v>
      </c>
      <c r="AR573" s="286">
        <f t="shared" si="41"/>
        <v>22018189.129999999</v>
      </c>
      <c r="AS573" s="201"/>
      <c r="AV573" s="135"/>
      <c r="AW573" s="135"/>
      <c r="AX573" s="135"/>
      <c r="AY573" s="135"/>
      <c r="AZ573" s="135"/>
      <c r="BA573" s="135"/>
      <c r="BB573" s="135"/>
      <c r="BC573" s="135"/>
      <c r="BK573" s="135"/>
      <c r="BM573" s="176"/>
      <c r="BN573" s="139"/>
      <c r="BO573" s="136"/>
      <c r="BQ573" s="148"/>
      <c r="BR573" s="136"/>
      <c r="BS573" s="149"/>
      <c r="BT573" s="136"/>
      <c r="BW573" s="135"/>
    </row>
    <row r="574" spans="40:75" x14ac:dyDescent="0.2">
      <c r="AN574" s="216" t="s">
        <v>65</v>
      </c>
      <c r="AO574" s="225" t="s">
        <v>28</v>
      </c>
      <c r="AP574" s="226">
        <v>1</v>
      </c>
      <c r="AQ574" s="226">
        <v>46863.020959999994</v>
      </c>
      <c r="AR574" s="215">
        <f t="shared" si="41"/>
        <v>46863.02</v>
      </c>
      <c r="AS574" s="201"/>
      <c r="AT574" s="139"/>
      <c r="AV574" s="135"/>
      <c r="AW574" s="135"/>
      <c r="AX574" s="135"/>
      <c r="AY574" s="135"/>
      <c r="AZ574" s="135"/>
      <c r="BA574" s="135"/>
      <c r="BB574" s="135"/>
      <c r="BC574" s="135"/>
      <c r="BK574" s="135"/>
      <c r="BM574" s="176"/>
      <c r="BN574" s="139"/>
      <c r="BO574" s="136"/>
      <c r="BQ574" s="148"/>
      <c r="BR574" s="136"/>
      <c r="BS574" s="149"/>
      <c r="BT574" s="136"/>
      <c r="BW574" s="135"/>
    </row>
    <row r="575" spans="40:75" x14ac:dyDescent="0.2">
      <c r="AN575" s="216" t="s">
        <v>50</v>
      </c>
      <c r="AO575" s="225" t="s">
        <v>28</v>
      </c>
      <c r="AP575" s="226">
        <v>0.03</v>
      </c>
      <c r="AQ575" s="214">
        <v>46909883.979999997</v>
      </c>
      <c r="AR575" s="215">
        <f t="shared" ref="AR575" si="42">+ROUND(AP575*AQ575,2)</f>
        <v>1407296.52</v>
      </c>
      <c r="AS575" s="201"/>
      <c r="AT575" s="139"/>
      <c r="AV575" s="135"/>
      <c r="AW575" s="135"/>
      <c r="AX575" s="135"/>
      <c r="AY575" s="135"/>
      <c r="AZ575" s="135"/>
      <c r="BA575" s="135"/>
      <c r="BB575" s="135"/>
      <c r="BC575" s="135"/>
      <c r="BK575" s="135"/>
      <c r="BM575" s="176"/>
      <c r="BN575" s="139"/>
      <c r="BO575" s="136"/>
      <c r="BQ575" s="148"/>
      <c r="BR575" s="136"/>
      <c r="BS575" s="149"/>
      <c r="BT575" s="136"/>
      <c r="BW575" s="135"/>
    </row>
    <row r="576" spans="40:75" x14ac:dyDescent="0.2">
      <c r="AN576" s="187"/>
      <c r="AO576" s="222"/>
      <c r="AP576" s="219"/>
      <c r="AQ576" s="219"/>
      <c r="AR576" s="223"/>
      <c r="AS576" s="201"/>
      <c r="AT576" s="139"/>
      <c r="AV576" s="135"/>
      <c r="AW576" s="135"/>
      <c r="AX576" s="135"/>
      <c r="AY576" s="135"/>
      <c r="AZ576" s="135"/>
      <c r="BA576" s="135"/>
      <c r="BB576" s="135"/>
      <c r="BC576" s="135"/>
      <c r="BK576" s="135"/>
      <c r="BM576" s="176"/>
      <c r="BN576" s="139"/>
      <c r="BO576" s="136"/>
      <c r="BQ576" s="148"/>
      <c r="BR576" s="136"/>
      <c r="BS576" s="149"/>
      <c r="BT576" s="136"/>
      <c r="BW576" s="135"/>
    </row>
    <row r="577" spans="40:76" x14ac:dyDescent="0.2">
      <c r="AN577" s="232" t="s">
        <v>51</v>
      </c>
      <c r="AO577" s="233"/>
      <c r="AP577" s="234"/>
      <c r="AQ577" s="234"/>
      <c r="AR577" s="235">
        <f>SUM(AR558:AR576)</f>
        <v>48317180.5</v>
      </c>
      <c r="AS577" s="235"/>
      <c r="AT577" s="368">
        <f>+AR577+AR582</f>
        <v>58020880.5</v>
      </c>
      <c r="AV577" s="135"/>
      <c r="AW577" s="135"/>
      <c r="AX577" s="135"/>
      <c r="AY577" s="135"/>
      <c r="AZ577" s="135"/>
      <c r="BA577" s="135"/>
      <c r="BB577" s="135"/>
      <c r="BC577" s="135"/>
      <c r="BK577" s="135"/>
      <c r="BM577" s="176"/>
      <c r="BN577" s="139"/>
      <c r="BO577" s="136"/>
      <c r="BQ577" s="148"/>
      <c r="BR577" s="136"/>
      <c r="BS577" s="149"/>
      <c r="BT577" s="136"/>
      <c r="BW577" s="135"/>
    </row>
    <row r="578" spans="40:76" x14ac:dyDescent="0.2">
      <c r="AN578" s="197" t="s">
        <v>53</v>
      </c>
      <c r="AO578" s="198"/>
      <c r="AP578" s="199"/>
      <c r="AQ578" s="199"/>
      <c r="AR578" s="200"/>
      <c r="AS578" s="153"/>
      <c r="AT578" s="135"/>
      <c r="AW578" s="135"/>
      <c r="AX578" s="135"/>
      <c r="AY578" s="135"/>
      <c r="AZ578" s="135"/>
      <c r="BA578" s="135"/>
      <c r="BB578" s="135"/>
      <c r="BC578" s="135"/>
      <c r="BK578" s="135"/>
      <c r="BM578" s="176"/>
      <c r="BN578" s="139"/>
      <c r="BO578" s="136"/>
      <c r="BQ578" s="148"/>
      <c r="BR578" s="136"/>
      <c r="BS578" s="149"/>
      <c r="BT578" s="136"/>
      <c r="BW578" s="135"/>
    </row>
    <row r="579" spans="40:76" x14ac:dyDescent="0.2">
      <c r="AN579" s="224" t="s">
        <v>54</v>
      </c>
      <c r="AO579" s="225" t="s">
        <v>55</v>
      </c>
      <c r="AP579" s="226">
        <v>4200</v>
      </c>
      <c r="AQ579" s="226">
        <v>1600.8</v>
      </c>
      <c r="AR579" s="215">
        <f>+ROUND(AP579*AQ579,2)</f>
        <v>6723360</v>
      </c>
      <c r="AS579" s="194"/>
      <c r="AT579" s="135"/>
      <c r="AV579" s="149"/>
      <c r="AW579" s="135"/>
      <c r="AX579" s="135"/>
      <c r="AY579" s="135"/>
      <c r="AZ579" s="135"/>
      <c r="BA579" s="135"/>
      <c r="BB579" s="135"/>
      <c r="BC579" s="135"/>
      <c r="BK579" s="135"/>
      <c r="BM579" s="176"/>
      <c r="BN579" s="139"/>
      <c r="BO579" s="136"/>
      <c r="BQ579" s="148"/>
      <c r="BR579" s="136"/>
      <c r="BS579" s="149"/>
      <c r="BT579" s="136"/>
      <c r="BW579" s="135"/>
    </row>
    <row r="580" spans="40:76" x14ac:dyDescent="0.2">
      <c r="AN580" s="224" t="s">
        <v>56</v>
      </c>
      <c r="AO580" s="225" t="s">
        <v>55</v>
      </c>
      <c r="AP580" s="226">
        <v>2200</v>
      </c>
      <c r="AQ580" s="226">
        <v>1354.6999999999998</v>
      </c>
      <c r="AR580" s="215">
        <f>+ROUND(AP580*AQ580,2)</f>
        <v>2980340</v>
      </c>
      <c r="AS580" s="194"/>
      <c r="AT580" s="135"/>
      <c r="AW580" s="135"/>
      <c r="AX580" s="135"/>
      <c r="AY580" s="135"/>
      <c r="AZ580" s="135"/>
      <c r="BA580" s="135"/>
      <c r="BB580" s="135"/>
      <c r="BC580" s="135"/>
      <c r="BK580" s="135"/>
      <c r="BM580" s="176"/>
      <c r="BN580" s="139"/>
      <c r="BO580" s="136"/>
      <c r="BQ580" s="148"/>
      <c r="BR580" s="136"/>
      <c r="BS580" s="149"/>
      <c r="BT580" s="136"/>
      <c r="BW580" s="135"/>
    </row>
    <row r="581" spans="40:76" x14ac:dyDescent="0.2">
      <c r="AN581" s="248"/>
      <c r="AO581" s="249"/>
      <c r="AP581" s="219"/>
      <c r="AQ581" s="219"/>
      <c r="AR581" s="215"/>
      <c r="AS581" s="194"/>
      <c r="AT581" s="135"/>
      <c r="AW581" s="135"/>
      <c r="AX581" s="135"/>
      <c r="AY581" s="135"/>
      <c r="AZ581" s="135"/>
      <c r="BA581" s="135"/>
      <c r="BB581" s="135"/>
      <c r="BC581" s="135"/>
      <c r="BK581" s="135"/>
      <c r="BM581" s="176"/>
      <c r="BN581" s="139"/>
      <c r="BO581" s="136"/>
      <c r="BQ581" s="148"/>
      <c r="BR581" s="136"/>
      <c r="BS581" s="149"/>
      <c r="BT581" s="136"/>
      <c r="BW581" s="135"/>
    </row>
    <row r="582" spans="40:76" x14ac:dyDescent="0.2">
      <c r="AN582" s="232" t="s">
        <v>57</v>
      </c>
      <c r="AO582" s="233"/>
      <c r="AP582" s="234"/>
      <c r="AQ582" s="234"/>
      <c r="AR582" s="235">
        <f>SUM(AR579:AR581)</f>
        <v>9703700</v>
      </c>
      <c r="AS582" s="138">
        <f>+AR582/AR577</f>
        <v>0.20083332470113813</v>
      </c>
      <c r="AT582" s="368">
        <f>+AR582+AR602</f>
        <v>9703700</v>
      </c>
      <c r="AW582" s="135"/>
      <c r="AX582" s="135"/>
      <c r="AY582" s="135"/>
      <c r="AZ582" s="135"/>
      <c r="BA582" s="135"/>
      <c r="BB582" s="135"/>
      <c r="BC582" s="135"/>
      <c r="BK582" s="135"/>
      <c r="BM582" s="176"/>
      <c r="BN582" s="139"/>
      <c r="BO582" s="136"/>
      <c r="BQ582" s="148"/>
      <c r="BR582" s="136"/>
      <c r="BS582" s="149"/>
      <c r="BT582" s="136"/>
      <c r="BW582" s="135"/>
    </row>
    <row r="583" spans="40:76" x14ac:dyDescent="0.2">
      <c r="AN583" s="197" t="s">
        <v>58</v>
      </c>
      <c r="AO583" s="198"/>
      <c r="AP583" s="199"/>
      <c r="AQ583" s="199"/>
      <c r="AR583" s="200"/>
      <c r="AS583" s="153"/>
      <c r="AT583" s="135"/>
      <c r="AW583" s="135"/>
      <c r="AX583" s="135"/>
      <c r="AY583" s="135"/>
      <c r="AZ583" s="135"/>
      <c r="BA583" s="135"/>
      <c r="BB583" s="135"/>
      <c r="BC583" s="135"/>
      <c r="BK583" s="135"/>
      <c r="BM583" s="176"/>
      <c r="BN583" s="139"/>
      <c r="BO583" s="136"/>
      <c r="BQ583" s="148"/>
      <c r="BR583" s="136"/>
      <c r="BS583" s="149"/>
      <c r="BT583" s="136"/>
      <c r="BW583" s="135"/>
    </row>
    <row r="584" spans="40:76" x14ac:dyDescent="0.2">
      <c r="AN584" s="252" t="s">
        <v>59</v>
      </c>
      <c r="AO584" s="213" t="s">
        <v>60</v>
      </c>
      <c r="AP584" s="226">
        <v>5500</v>
      </c>
      <c r="AQ584" s="226">
        <v>1.9600688000000004</v>
      </c>
      <c r="AR584" s="215">
        <f>+ROUND(AP584*AQ584,2)</f>
        <v>10780.38</v>
      </c>
      <c r="AS584" s="194"/>
      <c r="AT584" s="135"/>
      <c r="AW584" s="135"/>
      <c r="AX584" s="135"/>
      <c r="AY584" s="135"/>
      <c r="AZ584" s="135"/>
      <c r="BA584" s="135"/>
      <c r="BB584" s="135"/>
      <c r="BC584" s="135"/>
      <c r="BK584" s="135"/>
      <c r="BM584" s="176"/>
      <c r="BN584" s="139"/>
      <c r="BO584" s="136"/>
      <c r="BQ584" s="148"/>
      <c r="BR584" s="136"/>
      <c r="BS584" s="149"/>
      <c r="BT584" s="136"/>
      <c r="BW584" s="135"/>
    </row>
    <row r="585" spans="40:76" x14ac:dyDescent="0.2">
      <c r="AN585" s="202" t="s">
        <v>62</v>
      </c>
      <c r="AO585" s="250"/>
      <c r="AP585" s="168"/>
      <c r="AQ585" s="168"/>
      <c r="AR585" s="251">
        <f>SUM(AR584:AR584)</f>
        <v>10780.38</v>
      </c>
      <c r="AS585" s="194"/>
      <c r="AT585" s="135"/>
      <c r="AW585" s="135"/>
      <c r="AX585" s="135"/>
      <c r="AY585" s="135"/>
      <c r="AZ585" s="135"/>
      <c r="BA585" s="135"/>
      <c r="BB585" s="135"/>
      <c r="BC585" s="135"/>
      <c r="BK585" s="135"/>
      <c r="BM585" s="176"/>
      <c r="BN585" s="139"/>
      <c r="BO585" s="136"/>
      <c r="BQ585" s="148"/>
      <c r="BR585" s="136"/>
      <c r="BS585" s="149"/>
      <c r="BT585" s="136"/>
      <c r="BW585" s="135"/>
    </row>
    <row r="586" spans="40:76" x14ac:dyDescent="0.2">
      <c r="AN586" s="253" t="s">
        <v>63</v>
      </c>
      <c r="AO586" s="233"/>
      <c r="AP586" s="254" t="s">
        <v>64</v>
      </c>
      <c r="AQ586" s="255"/>
      <c r="AR586" s="256">
        <f>+AR577+AR582+AR585</f>
        <v>58031660.880000003</v>
      </c>
      <c r="AS586" s="194"/>
      <c r="AT586" s="135"/>
      <c r="AW586" s="135"/>
      <c r="AX586" s="135"/>
      <c r="AY586" s="135"/>
      <c r="AZ586" s="135"/>
      <c r="BA586" s="135"/>
      <c r="BB586" s="135"/>
      <c r="BC586" s="135"/>
      <c r="BK586" s="135"/>
      <c r="BM586" s="176"/>
      <c r="BN586" s="139"/>
      <c r="BO586" s="136"/>
      <c r="BQ586" s="148"/>
      <c r="BR586" s="136"/>
      <c r="BS586" s="149"/>
      <c r="BT586" s="136"/>
      <c r="BW586" s="135"/>
    </row>
    <row r="587" spans="40:76" x14ac:dyDescent="0.2">
      <c r="AN587" s="152"/>
      <c r="AO587" s="148"/>
      <c r="AP587" s="206"/>
      <c r="AQ587" s="194"/>
      <c r="AR587" s="144"/>
      <c r="AS587" s="194"/>
      <c r="AT587" s="135"/>
      <c r="AW587" s="135"/>
      <c r="AX587" s="135"/>
      <c r="AY587" s="135"/>
      <c r="AZ587" s="135"/>
      <c r="BA587" s="135"/>
      <c r="BB587" s="135"/>
      <c r="BC587" s="135"/>
      <c r="BK587" s="135"/>
      <c r="BM587" s="176"/>
      <c r="BN587" s="139"/>
      <c r="BO587" s="136"/>
      <c r="BQ587" s="148"/>
      <c r="BR587" s="136"/>
      <c r="BS587" s="149"/>
      <c r="BT587" s="136"/>
      <c r="BW587" s="135"/>
      <c r="BX587" s="369"/>
    </row>
    <row r="588" spans="40:76" x14ac:dyDescent="0.2">
      <c r="AN588" s="155" t="s">
        <v>416</v>
      </c>
      <c r="AO588" s="169"/>
      <c r="AP588" s="172"/>
      <c r="AQ588" s="172"/>
      <c r="AR588" s="173"/>
      <c r="AS588" s="154"/>
      <c r="AT588" s="135"/>
      <c r="AW588" s="135"/>
      <c r="AX588" s="135"/>
      <c r="AY588" s="135"/>
      <c r="AZ588" s="135"/>
      <c r="BA588" s="135"/>
      <c r="BB588" s="135"/>
      <c r="BC588" s="135"/>
      <c r="BK588" s="135"/>
      <c r="BM588" s="176"/>
      <c r="BN588" s="139"/>
      <c r="BO588" s="136"/>
      <c r="BQ588" s="148"/>
      <c r="BR588" s="136"/>
      <c r="BS588" s="149"/>
      <c r="BT588" s="136"/>
      <c r="BW588" s="135"/>
      <c r="BX588" s="369"/>
    </row>
    <row r="589" spans="40:76" x14ac:dyDescent="0.2">
      <c r="AN589" s="177" t="s">
        <v>420</v>
      </c>
      <c r="AO589" s="150"/>
      <c r="AP589" s="178"/>
      <c r="AQ589" s="149"/>
      <c r="AR589" s="179" t="str">
        <f>$G$96</f>
        <v>Gl</v>
      </c>
      <c r="AS589" s="180">
        <f>$H$96</f>
        <v>1</v>
      </c>
      <c r="AT589" s="135"/>
      <c r="AW589" s="135"/>
      <c r="AX589" s="135"/>
      <c r="AY589" s="135"/>
      <c r="AZ589" s="135"/>
      <c r="BA589" s="135"/>
      <c r="BB589" s="135"/>
      <c r="BC589" s="135"/>
      <c r="BK589" s="135"/>
      <c r="BM589" s="176"/>
      <c r="BN589" s="139"/>
      <c r="BO589" s="136"/>
      <c r="BQ589" s="148"/>
      <c r="BR589" s="136"/>
      <c r="BS589" s="149"/>
      <c r="BT589" s="136"/>
      <c r="BW589" s="135"/>
      <c r="BX589" s="369"/>
    </row>
    <row r="590" spans="40:76" ht="16.5" thickBot="1" x14ac:dyDescent="0.25">
      <c r="AN590" s="364"/>
      <c r="AO590" s="184"/>
      <c r="AP590" s="185"/>
      <c r="AQ590" s="185"/>
      <c r="AR590" s="186"/>
      <c r="AT590" s="135"/>
      <c r="AW590" s="135"/>
      <c r="AX590" s="135"/>
      <c r="AY590" s="135"/>
      <c r="AZ590" s="135"/>
      <c r="BA590" s="135"/>
      <c r="BB590" s="135"/>
      <c r="BC590" s="135"/>
      <c r="BK590" s="135"/>
      <c r="BM590" s="176"/>
      <c r="BN590" s="139"/>
      <c r="BO590" s="136"/>
      <c r="BQ590" s="148"/>
      <c r="BR590" s="136"/>
      <c r="BS590" s="149"/>
      <c r="BT590" s="136"/>
      <c r="BW590" s="135"/>
      <c r="BX590" s="369"/>
    </row>
    <row r="591" spans="40:76" ht="16.5" thickTop="1" x14ac:dyDescent="0.2">
      <c r="AN591" s="191" t="s">
        <v>31</v>
      </c>
      <c r="AO591" s="192" t="s">
        <v>32</v>
      </c>
      <c r="AP591" s="192" t="s">
        <v>33</v>
      </c>
      <c r="AQ591" s="192" t="s">
        <v>1</v>
      </c>
      <c r="AR591" s="192" t="s">
        <v>34</v>
      </c>
      <c r="AS591" s="193" t="s">
        <v>76</v>
      </c>
      <c r="AT591" s="135"/>
      <c r="AW591" s="135"/>
      <c r="AX591" s="135"/>
      <c r="AY591" s="135"/>
      <c r="AZ591" s="135"/>
      <c r="BA591" s="135"/>
      <c r="BB591" s="135"/>
      <c r="BC591" s="135"/>
      <c r="BK591" s="135"/>
      <c r="BM591" s="176"/>
      <c r="BN591" s="139"/>
      <c r="BO591" s="136"/>
      <c r="BQ591" s="148"/>
      <c r="BR591" s="136"/>
      <c r="BS591" s="149"/>
      <c r="BT591" s="136"/>
      <c r="BW591" s="135"/>
    </row>
    <row r="592" spans="40:76" x14ac:dyDescent="0.2">
      <c r="AN592" s="197" t="s">
        <v>37</v>
      </c>
      <c r="AO592" s="198"/>
      <c r="AP592" s="199"/>
      <c r="AQ592" s="199"/>
      <c r="AR592" s="200"/>
      <c r="AS592" s="201"/>
      <c r="AT592" s="135"/>
      <c r="AW592" s="135"/>
      <c r="AX592" s="135"/>
      <c r="AY592" s="135"/>
      <c r="AZ592" s="135"/>
      <c r="BA592" s="135"/>
      <c r="BB592" s="135"/>
      <c r="BC592" s="135"/>
      <c r="BK592" s="135"/>
      <c r="BM592" s="176"/>
      <c r="BN592" s="139"/>
      <c r="BO592" s="136"/>
      <c r="BQ592" s="148"/>
      <c r="BR592" s="136"/>
      <c r="BS592" s="149"/>
      <c r="BT592" s="136"/>
      <c r="BW592" s="135"/>
    </row>
    <row r="593" spans="40:75" x14ac:dyDescent="0.2">
      <c r="AN593" s="216" t="s">
        <v>420</v>
      </c>
      <c r="AO593" s="225" t="s">
        <v>20</v>
      </c>
      <c r="AP593" s="226">
        <v>4</v>
      </c>
      <c r="AQ593" s="226">
        <v>2095726.61</v>
      </c>
      <c r="AR593" s="286">
        <f t="shared" ref="AR593:AR595" si="43">+ROUND(AP593*AQ593,2)</f>
        <v>8382906.4400000004</v>
      </c>
      <c r="AS593" s="201"/>
      <c r="AT593" s="139"/>
      <c r="AW593" s="135"/>
      <c r="AX593" s="135"/>
      <c r="AY593" s="135"/>
      <c r="AZ593" s="135"/>
      <c r="BA593" s="135"/>
      <c r="BB593" s="135"/>
      <c r="BC593" s="135"/>
      <c r="BK593" s="135"/>
      <c r="BM593" s="176"/>
      <c r="BN593" s="139"/>
      <c r="BO593" s="136"/>
      <c r="BQ593" s="148"/>
      <c r="BR593" s="136"/>
      <c r="BS593" s="149"/>
      <c r="BT593" s="136"/>
      <c r="BW593" s="135"/>
    </row>
    <row r="594" spans="40:75" x14ac:dyDescent="0.2">
      <c r="AN594" s="216" t="s">
        <v>65</v>
      </c>
      <c r="AO594" s="213" t="s">
        <v>28</v>
      </c>
      <c r="AP594" s="214">
        <v>1</v>
      </c>
      <c r="AQ594" s="214">
        <v>167658.12880000001</v>
      </c>
      <c r="AR594" s="215">
        <f t="shared" si="43"/>
        <v>167658.13</v>
      </c>
      <c r="AS594" s="201"/>
      <c r="AT594" s="135"/>
      <c r="AW594" s="135"/>
      <c r="AX594" s="135"/>
      <c r="AY594" s="135"/>
      <c r="AZ594" s="135"/>
      <c r="BA594" s="135"/>
      <c r="BB594" s="135"/>
      <c r="BC594" s="135"/>
      <c r="BK594" s="135"/>
      <c r="BM594" s="176"/>
      <c r="BN594" s="139"/>
      <c r="BO594" s="136"/>
      <c r="BQ594" s="148"/>
      <c r="BR594" s="136"/>
      <c r="BS594" s="149"/>
      <c r="BT594" s="136"/>
      <c r="BW594" s="135"/>
    </row>
    <row r="595" spans="40:75" x14ac:dyDescent="0.2">
      <c r="AN595" s="216" t="s">
        <v>50</v>
      </c>
      <c r="AO595" s="213" t="s">
        <v>28</v>
      </c>
      <c r="AP595" s="214">
        <v>0.03</v>
      </c>
      <c r="AQ595" s="214">
        <v>8550564.5700000003</v>
      </c>
      <c r="AR595" s="215">
        <f t="shared" si="43"/>
        <v>256516.94</v>
      </c>
      <c r="AS595" s="201"/>
      <c r="AT595" s="135"/>
      <c r="AW595" s="135"/>
      <c r="AX595" s="135"/>
      <c r="AY595" s="135"/>
      <c r="AZ595" s="135"/>
      <c r="BA595" s="135"/>
      <c r="BB595" s="135"/>
      <c r="BC595" s="135"/>
      <c r="BK595" s="135"/>
      <c r="BM595" s="176"/>
      <c r="BN595" s="139"/>
      <c r="BO595" s="136"/>
      <c r="BQ595" s="148"/>
      <c r="BR595" s="136"/>
      <c r="BS595" s="149"/>
      <c r="BT595" s="136"/>
      <c r="BW595" s="135"/>
    </row>
    <row r="596" spans="40:75" x14ac:dyDescent="0.2">
      <c r="AN596" s="221"/>
      <c r="AO596" s="222"/>
      <c r="AP596" s="219"/>
      <c r="AQ596" s="219"/>
      <c r="AR596" s="223"/>
      <c r="AS596" s="201"/>
      <c r="AT596" s="135"/>
      <c r="AW596" s="135"/>
      <c r="AX596" s="135"/>
      <c r="AY596" s="135"/>
      <c r="AZ596" s="135"/>
      <c r="BA596" s="135"/>
      <c r="BB596" s="135"/>
      <c r="BC596" s="135"/>
      <c r="BK596" s="135"/>
      <c r="BM596" s="176"/>
      <c r="BN596" s="139"/>
      <c r="BO596" s="136"/>
      <c r="BQ596" s="148"/>
      <c r="BR596" s="136"/>
      <c r="BS596" s="149"/>
      <c r="BT596" s="136"/>
      <c r="BW596" s="135"/>
    </row>
    <row r="597" spans="40:75" x14ac:dyDescent="0.2">
      <c r="AN597" s="232" t="s">
        <v>51</v>
      </c>
      <c r="AO597" s="233"/>
      <c r="AP597" s="234"/>
      <c r="AQ597" s="234"/>
      <c r="AR597" s="235">
        <f>SUM(AR593:AR596)</f>
        <v>8807081.5099999998</v>
      </c>
      <c r="AS597" s="235"/>
      <c r="AT597" s="135"/>
      <c r="AW597" s="135"/>
      <c r="AX597" s="135"/>
      <c r="AY597" s="135"/>
      <c r="AZ597" s="135"/>
      <c r="BA597" s="135"/>
      <c r="BB597" s="135"/>
      <c r="BC597" s="135"/>
      <c r="BK597" s="135"/>
      <c r="BM597" s="176"/>
      <c r="BN597" s="139"/>
      <c r="BO597" s="136"/>
      <c r="BQ597" s="148"/>
      <c r="BR597" s="136"/>
      <c r="BS597" s="149"/>
      <c r="BT597" s="136"/>
      <c r="BW597" s="135"/>
    </row>
    <row r="598" spans="40:75" x14ac:dyDescent="0.2">
      <c r="AN598" s="197" t="s">
        <v>53</v>
      </c>
      <c r="AO598" s="198"/>
      <c r="AP598" s="199"/>
      <c r="AQ598" s="199"/>
      <c r="AR598" s="200"/>
      <c r="AS598" s="153"/>
      <c r="AT598" s="135"/>
      <c r="AW598" s="135"/>
      <c r="AX598" s="135"/>
      <c r="AY598" s="135"/>
      <c r="AZ598" s="135"/>
      <c r="BA598" s="135"/>
      <c r="BB598" s="135"/>
      <c r="BC598" s="135"/>
      <c r="BK598" s="135"/>
      <c r="BM598" s="176"/>
      <c r="BN598" s="139"/>
      <c r="BO598" s="136"/>
      <c r="BQ598" s="148"/>
      <c r="BR598" s="136"/>
      <c r="BS598" s="149"/>
      <c r="BT598" s="136"/>
      <c r="BW598" s="135"/>
    </row>
    <row r="599" spans="40:75" x14ac:dyDescent="0.2">
      <c r="AN599" s="224" t="s">
        <v>54</v>
      </c>
      <c r="AO599" s="225" t="s">
        <v>55</v>
      </c>
      <c r="AP599" s="226"/>
      <c r="AQ599" s="226">
        <v>1600.8</v>
      </c>
      <c r="AR599" s="215">
        <f>+ROUND(AP599*AQ599,2)</f>
        <v>0</v>
      </c>
      <c r="AS599" s="194"/>
      <c r="AT599" s="135"/>
      <c r="AW599" s="135"/>
      <c r="AX599" s="135"/>
      <c r="AY599" s="135"/>
      <c r="AZ599" s="135"/>
      <c r="BA599" s="135"/>
      <c r="BB599" s="135"/>
      <c r="BC599" s="135"/>
      <c r="BK599" s="135"/>
      <c r="BM599" s="176"/>
      <c r="BN599" s="139"/>
      <c r="BO599" s="136"/>
      <c r="BQ599" s="148"/>
      <c r="BR599" s="136"/>
      <c r="BS599" s="149"/>
      <c r="BT599" s="136"/>
      <c r="BW599" s="135"/>
    </row>
    <row r="600" spans="40:75" x14ac:dyDescent="0.2">
      <c r="AN600" s="224" t="s">
        <v>56</v>
      </c>
      <c r="AO600" s="225" t="s">
        <v>55</v>
      </c>
      <c r="AP600" s="226"/>
      <c r="AQ600" s="226">
        <v>1354.6999999999998</v>
      </c>
      <c r="AR600" s="215">
        <f>+ROUND(AP600*AQ600,2)</f>
        <v>0</v>
      </c>
      <c r="AS600" s="194"/>
      <c r="AT600" s="135"/>
      <c r="AW600" s="135"/>
      <c r="AX600" s="135"/>
      <c r="AY600" s="135"/>
      <c r="AZ600" s="135"/>
      <c r="BA600" s="135"/>
      <c r="BB600" s="135"/>
      <c r="BC600" s="135"/>
      <c r="BK600" s="135"/>
      <c r="BM600" s="176"/>
      <c r="BN600" s="139"/>
      <c r="BO600" s="136"/>
      <c r="BQ600" s="148"/>
      <c r="BR600" s="136"/>
      <c r="BS600" s="149"/>
      <c r="BT600" s="136"/>
      <c r="BW600" s="135"/>
    </row>
    <row r="601" spans="40:75" x14ac:dyDescent="0.2">
      <c r="AN601" s="248"/>
      <c r="AO601" s="249"/>
      <c r="AP601" s="219"/>
      <c r="AQ601" s="219"/>
      <c r="AR601" s="215"/>
      <c r="AS601" s="194"/>
      <c r="AT601" s="135"/>
      <c r="AW601" s="135"/>
      <c r="AX601" s="135"/>
      <c r="AY601" s="135"/>
      <c r="AZ601" s="135"/>
      <c r="BA601" s="135"/>
      <c r="BB601" s="135"/>
      <c r="BC601" s="135"/>
      <c r="BK601" s="135"/>
      <c r="BM601" s="176"/>
      <c r="BN601" s="139"/>
      <c r="BO601" s="136"/>
      <c r="BQ601" s="148"/>
      <c r="BR601" s="136"/>
      <c r="BS601" s="149"/>
      <c r="BT601" s="136"/>
      <c r="BW601" s="135"/>
    </row>
    <row r="602" spans="40:75" x14ac:dyDescent="0.2">
      <c r="AN602" s="232" t="s">
        <v>57</v>
      </c>
      <c r="AO602" s="233"/>
      <c r="AP602" s="234"/>
      <c r="AQ602" s="234"/>
      <c r="AR602" s="235">
        <f>SUM(AR599:AR601)</f>
        <v>0</v>
      </c>
      <c r="AS602" s="138">
        <f>+AR602/AR597</f>
        <v>0</v>
      </c>
      <c r="AT602" s="135"/>
      <c r="AW602" s="135"/>
      <c r="AX602" s="135"/>
      <c r="AY602" s="135"/>
      <c r="AZ602" s="135"/>
      <c r="BA602" s="135"/>
      <c r="BB602" s="135"/>
      <c r="BC602" s="135"/>
      <c r="BK602" s="135"/>
      <c r="BM602" s="176"/>
      <c r="BN602" s="139"/>
      <c r="BO602" s="136"/>
      <c r="BQ602" s="148"/>
      <c r="BR602" s="136"/>
      <c r="BS602" s="149"/>
      <c r="BT602" s="136"/>
      <c r="BW602" s="135"/>
    </row>
    <row r="603" spans="40:75" x14ac:dyDescent="0.2">
      <c r="AN603" s="197" t="s">
        <v>58</v>
      </c>
      <c r="AO603" s="198"/>
      <c r="AP603" s="199"/>
      <c r="AQ603" s="199"/>
      <c r="AR603" s="200"/>
      <c r="AS603" s="153"/>
      <c r="AT603" s="135"/>
      <c r="AW603" s="135"/>
      <c r="AX603" s="135"/>
      <c r="AY603" s="135"/>
      <c r="AZ603" s="135"/>
      <c r="BA603" s="135"/>
      <c r="BB603" s="135"/>
      <c r="BC603" s="135"/>
      <c r="BK603" s="135"/>
      <c r="BM603" s="176"/>
      <c r="BN603" s="139"/>
      <c r="BO603" s="136"/>
      <c r="BQ603" s="148"/>
      <c r="BR603" s="136"/>
      <c r="BS603" s="149"/>
      <c r="BT603" s="136"/>
      <c r="BW603" s="135"/>
    </row>
    <row r="604" spans="40:75" x14ac:dyDescent="0.2">
      <c r="AN604" s="252" t="s">
        <v>59</v>
      </c>
      <c r="AO604" s="213" t="s">
        <v>60</v>
      </c>
      <c r="AP604" s="226">
        <v>500</v>
      </c>
      <c r="AQ604" s="226">
        <v>1.9600688000000004</v>
      </c>
      <c r="AR604" s="215">
        <f>+ROUND(AP604*AQ604,2)</f>
        <v>980.03</v>
      </c>
      <c r="AS604" s="194"/>
      <c r="AT604" s="135"/>
      <c r="AU604" s="138"/>
      <c r="AW604" s="135"/>
      <c r="AX604" s="135"/>
      <c r="AY604" s="135"/>
      <c r="AZ604" s="135"/>
      <c r="BA604" s="135"/>
      <c r="BB604" s="135"/>
      <c r="BC604" s="135"/>
      <c r="BK604" s="135"/>
      <c r="BM604" s="176"/>
      <c r="BN604" s="139"/>
      <c r="BO604" s="136"/>
      <c r="BQ604" s="153"/>
      <c r="BR604" s="136"/>
      <c r="BS604" s="149"/>
      <c r="BT604" s="136"/>
      <c r="BW604" s="135"/>
    </row>
    <row r="605" spans="40:75" x14ac:dyDescent="0.2">
      <c r="AN605" s="202" t="s">
        <v>62</v>
      </c>
      <c r="AO605" s="250"/>
      <c r="AP605" s="168"/>
      <c r="AQ605" s="168"/>
      <c r="AR605" s="251">
        <f>SUM(AR604:AR604)</f>
        <v>980.03</v>
      </c>
      <c r="AS605" s="194"/>
      <c r="AW605" s="135"/>
      <c r="AX605" s="135"/>
      <c r="AY605" s="135"/>
      <c r="AZ605" s="135"/>
      <c r="BA605" s="135"/>
      <c r="BB605" s="135"/>
      <c r="BC605" s="135"/>
      <c r="BK605" s="135"/>
      <c r="BM605" s="176"/>
      <c r="BN605" s="139"/>
      <c r="BO605" s="136"/>
      <c r="BQ605" s="153"/>
      <c r="BR605" s="136"/>
      <c r="BS605" s="149"/>
      <c r="BT605" s="136"/>
      <c r="BW605" s="135"/>
    </row>
    <row r="606" spans="40:75" x14ac:dyDescent="0.2">
      <c r="AN606" s="253" t="s">
        <v>63</v>
      </c>
      <c r="AO606" s="233"/>
      <c r="AP606" s="254" t="s">
        <v>64</v>
      </c>
      <c r="AQ606" s="255"/>
      <c r="AR606" s="256">
        <f>+AR597+AR602+AR605</f>
        <v>8808061.5399999991</v>
      </c>
      <c r="AS606" s="194"/>
      <c r="AT606" s="135"/>
      <c r="AW606" s="135"/>
      <c r="AX606" s="135"/>
      <c r="AY606" s="135"/>
      <c r="AZ606" s="135"/>
      <c r="BA606" s="135"/>
      <c r="BB606" s="135"/>
      <c r="BC606" s="135"/>
      <c r="BK606" s="135"/>
      <c r="BM606" s="176"/>
      <c r="BN606" s="139"/>
      <c r="BO606" s="136"/>
      <c r="BQ606" s="148"/>
      <c r="BR606" s="136"/>
      <c r="BS606" s="149"/>
      <c r="BT606" s="136"/>
      <c r="BW606" s="135"/>
    </row>
    <row r="607" spans="40:75" x14ac:dyDescent="0.2">
      <c r="AN607" s="152"/>
      <c r="AO607" s="148"/>
      <c r="AP607" s="206"/>
      <c r="AQ607" s="194"/>
      <c r="AR607" s="144"/>
      <c r="AS607" s="194"/>
      <c r="AT607" s="135"/>
      <c r="AW607" s="135"/>
      <c r="AX607" s="135"/>
      <c r="AY607" s="135"/>
      <c r="AZ607" s="135"/>
      <c r="BA607" s="135"/>
      <c r="BB607" s="135"/>
      <c r="BC607" s="135"/>
      <c r="BK607" s="135"/>
      <c r="BM607" s="176"/>
      <c r="BN607" s="139"/>
      <c r="BO607" s="136"/>
      <c r="BQ607" s="148"/>
      <c r="BR607" s="136"/>
      <c r="BS607" s="149"/>
      <c r="BT607" s="136"/>
      <c r="BW607" s="135"/>
    </row>
    <row r="608" spans="40:75" x14ac:dyDescent="0.2">
      <c r="AN608" s="155" t="s">
        <v>416</v>
      </c>
      <c r="AO608" s="169"/>
      <c r="AP608" s="172"/>
      <c r="AQ608" s="172"/>
      <c r="AR608" s="173"/>
      <c r="AS608" s="154"/>
      <c r="AT608" s="135"/>
      <c r="AW608" s="135"/>
      <c r="AX608" s="135"/>
      <c r="AY608" s="135"/>
      <c r="AZ608" s="135"/>
      <c r="BA608" s="135"/>
      <c r="BB608" s="135"/>
      <c r="BC608" s="135"/>
      <c r="BK608" s="135"/>
      <c r="BM608" s="176"/>
      <c r="BN608" s="139"/>
      <c r="BO608" s="136"/>
      <c r="BQ608" s="148"/>
      <c r="BR608" s="136"/>
      <c r="BS608" s="149"/>
      <c r="BT608" s="136"/>
      <c r="BW608" s="135"/>
    </row>
    <row r="609" spans="40:75" x14ac:dyDescent="0.2">
      <c r="AN609" s="177" t="s">
        <v>421</v>
      </c>
      <c r="AO609" s="150"/>
      <c r="AP609" s="178"/>
      <c r="AQ609" s="149"/>
      <c r="AR609" s="179" t="str">
        <f>$G$97</f>
        <v>Gl</v>
      </c>
      <c r="AS609" s="180">
        <f>$H$97</f>
        <v>1</v>
      </c>
      <c r="AT609" s="135"/>
      <c r="AW609" s="135"/>
      <c r="AX609" s="135"/>
      <c r="AY609" s="135"/>
      <c r="AZ609" s="135"/>
      <c r="BA609" s="135"/>
      <c r="BB609" s="135"/>
      <c r="BC609" s="135"/>
      <c r="BK609" s="135"/>
      <c r="BM609" s="176"/>
      <c r="BN609" s="139"/>
      <c r="BO609" s="136"/>
      <c r="BQ609" s="148"/>
      <c r="BR609" s="136"/>
      <c r="BS609" s="149"/>
      <c r="BT609" s="136"/>
      <c r="BW609" s="135"/>
    </row>
    <row r="610" spans="40:75" ht="16.5" thickBot="1" x14ac:dyDescent="0.25">
      <c r="AN610" s="364"/>
      <c r="AO610" s="184"/>
      <c r="AP610" s="185"/>
      <c r="AQ610" s="185"/>
      <c r="AR610" s="186"/>
      <c r="AT610" s="135"/>
      <c r="AW610" s="135"/>
      <c r="AX610" s="135"/>
      <c r="AY610" s="135"/>
      <c r="AZ610" s="135"/>
      <c r="BA610" s="135"/>
      <c r="BB610" s="135"/>
      <c r="BC610" s="135"/>
      <c r="BK610" s="135"/>
      <c r="BM610" s="176"/>
      <c r="BN610" s="139"/>
      <c r="BO610" s="136"/>
      <c r="BQ610" s="148"/>
      <c r="BR610" s="136"/>
      <c r="BS610" s="149"/>
      <c r="BT610" s="136"/>
      <c r="BW610" s="135"/>
    </row>
    <row r="611" spans="40:75" ht="16.5" thickTop="1" x14ac:dyDescent="0.2">
      <c r="AN611" s="191" t="s">
        <v>31</v>
      </c>
      <c r="AO611" s="192" t="s">
        <v>32</v>
      </c>
      <c r="AP611" s="192" t="s">
        <v>33</v>
      </c>
      <c r="AQ611" s="192" t="s">
        <v>1</v>
      </c>
      <c r="AR611" s="192" t="s">
        <v>34</v>
      </c>
      <c r="AS611" s="193" t="s">
        <v>76</v>
      </c>
      <c r="AT611" s="135"/>
      <c r="AW611" s="135"/>
      <c r="AX611" s="135"/>
      <c r="AY611" s="135"/>
      <c r="AZ611" s="135"/>
      <c r="BA611" s="135"/>
      <c r="BB611" s="135"/>
      <c r="BC611" s="135"/>
      <c r="BK611" s="135"/>
      <c r="BM611" s="176"/>
      <c r="BN611" s="139"/>
      <c r="BO611" s="136"/>
      <c r="BQ611" s="148"/>
      <c r="BR611" s="136"/>
      <c r="BS611" s="149"/>
      <c r="BT611" s="136"/>
      <c r="BW611" s="135"/>
    </row>
    <row r="612" spans="40:75" x14ac:dyDescent="0.2">
      <c r="AN612" s="197" t="s">
        <v>37</v>
      </c>
      <c r="AO612" s="198"/>
      <c r="AP612" s="199"/>
      <c r="AQ612" s="199"/>
      <c r="AR612" s="200"/>
      <c r="AS612" s="201"/>
      <c r="AT612" s="135"/>
      <c r="AW612" s="135"/>
      <c r="AX612" s="135"/>
      <c r="AY612" s="135"/>
      <c r="AZ612" s="135"/>
      <c r="BA612" s="135"/>
      <c r="BB612" s="135"/>
      <c r="BC612" s="135"/>
      <c r="BK612" s="135"/>
      <c r="BM612" s="176"/>
      <c r="BN612" s="139"/>
      <c r="BO612" s="136"/>
      <c r="BQ612" s="148"/>
      <c r="BR612" s="136"/>
      <c r="BS612" s="149"/>
      <c r="BT612" s="136"/>
      <c r="BW612" s="135"/>
    </row>
    <row r="613" spans="40:75" x14ac:dyDescent="0.2">
      <c r="AN613" s="216" t="s">
        <v>421</v>
      </c>
      <c r="AO613" s="225" t="s">
        <v>20</v>
      </c>
      <c r="AP613" s="226">
        <v>4</v>
      </c>
      <c r="AQ613" s="226">
        <v>1039444.01</v>
      </c>
      <c r="AR613" s="286">
        <f t="shared" ref="AR613:AR615" si="44">+ROUND(AP613*AQ613,2)</f>
        <v>4157776.04</v>
      </c>
      <c r="AS613" s="201"/>
      <c r="AT613" s="139"/>
      <c r="AW613" s="135"/>
      <c r="AX613" s="135"/>
      <c r="AY613" s="135"/>
      <c r="AZ613" s="135"/>
      <c r="BA613" s="135"/>
      <c r="BB613" s="135"/>
      <c r="BC613" s="135"/>
      <c r="BK613" s="135"/>
      <c r="BM613" s="176"/>
      <c r="BN613" s="139"/>
      <c r="BO613" s="136"/>
      <c r="BQ613" s="148"/>
      <c r="BR613" s="136"/>
      <c r="BS613" s="149"/>
      <c r="BT613" s="136"/>
      <c r="BW613" s="135"/>
    </row>
    <row r="614" spans="40:75" x14ac:dyDescent="0.2">
      <c r="AN614" s="216" t="s">
        <v>65</v>
      </c>
      <c r="AO614" s="213" t="s">
        <v>28</v>
      </c>
      <c r="AP614" s="214">
        <v>1</v>
      </c>
      <c r="AQ614" s="214">
        <v>83155.520799999998</v>
      </c>
      <c r="AR614" s="215">
        <f t="shared" si="44"/>
        <v>83155.520000000004</v>
      </c>
      <c r="AS614" s="201"/>
      <c r="AT614" s="135"/>
      <c r="AW614" s="135"/>
      <c r="AX614" s="135"/>
      <c r="AY614" s="135"/>
      <c r="AZ614" s="135"/>
      <c r="BA614" s="135"/>
      <c r="BB614" s="135"/>
      <c r="BC614" s="135"/>
      <c r="BK614" s="135"/>
      <c r="BM614" s="176"/>
      <c r="BN614" s="139"/>
      <c r="BO614" s="136"/>
      <c r="BQ614" s="148"/>
      <c r="BR614" s="136"/>
      <c r="BS614" s="149"/>
      <c r="BT614" s="136"/>
      <c r="BW614" s="135"/>
    </row>
    <row r="615" spans="40:75" x14ac:dyDescent="0.2">
      <c r="AN615" s="216" t="s">
        <v>50</v>
      </c>
      <c r="AO615" s="213" t="s">
        <v>28</v>
      </c>
      <c r="AP615" s="214">
        <v>0.03</v>
      </c>
      <c r="AQ615" s="214">
        <v>4240931.5599999996</v>
      </c>
      <c r="AR615" s="215">
        <f t="shared" si="44"/>
        <v>127227.95</v>
      </c>
      <c r="AS615" s="201"/>
      <c r="AT615" s="135"/>
      <c r="AW615" s="135"/>
      <c r="AX615" s="135"/>
      <c r="AY615" s="135"/>
      <c r="AZ615" s="135"/>
      <c r="BA615" s="135"/>
      <c r="BB615" s="135"/>
      <c r="BC615" s="135"/>
      <c r="BK615" s="135"/>
      <c r="BM615" s="176"/>
      <c r="BN615" s="139"/>
      <c r="BO615" s="136"/>
      <c r="BQ615" s="148"/>
      <c r="BR615" s="136"/>
      <c r="BS615" s="149"/>
      <c r="BT615" s="136"/>
      <c r="BW615" s="135"/>
    </row>
    <row r="616" spans="40:75" x14ac:dyDescent="0.2">
      <c r="AN616" s="221"/>
      <c r="AO616" s="222"/>
      <c r="AP616" s="219"/>
      <c r="AQ616" s="219"/>
      <c r="AR616" s="223"/>
      <c r="AS616" s="201"/>
      <c r="AT616" s="135"/>
      <c r="AW616" s="135"/>
      <c r="AX616" s="135"/>
      <c r="AY616" s="135"/>
      <c r="AZ616" s="135"/>
      <c r="BA616" s="135"/>
      <c r="BB616" s="135"/>
      <c r="BC616" s="135"/>
      <c r="BK616" s="135"/>
      <c r="BM616" s="176"/>
      <c r="BN616" s="139"/>
      <c r="BO616" s="136"/>
      <c r="BQ616" s="148"/>
      <c r="BR616" s="136"/>
      <c r="BS616" s="149"/>
      <c r="BT616" s="136"/>
      <c r="BW616" s="135"/>
    </row>
    <row r="617" spans="40:75" x14ac:dyDescent="0.2">
      <c r="AN617" s="232" t="s">
        <v>51</v>
      </c>
      <c r="AO617" s="233"/>
      <c r="AP617" s="234"/>
      <c r="AQ617" s="234"/>
      <c r="AR617" s="235">
        <f>SUM(AR613:AR616)</f>
        <v>4368159.51</v>
      </c>
      <c r="AS617" s="235"/>
      <c r="AT617" s="135"/>
      <c r="AW617" s="135"/>
      <c r="AX617" s="135"/>
      <c r="AY617" s="135"/>
      <c r="AZ617" s="135"/>
      <c r="BA617" s="135"/>
      <c r="BB617" s="135"/>
      <c r="BC617" s="135"/>
      <c r="BK617" s="135"/>
      <c r="BM617" s="176"/>
      <c r="BN617" s="139"/>
      <c r="BO617" s="136"/>
      <c r="BQ617" s="148"/>
      <c r="BR617" s="136"/>
      <c r="BS617" s="149"/>
      <c r="BT617" s="136"/>
      <c r="BW617" s="135"/>
    </row>
    <row r="618" spans="40:75" x14ac:dyDescent="0.2">
      <c r="AN618" s="197" t="s">
        <v>53</v>
      </c>
      <c r="AO618" s="198"/>
      <c r="AP618" s="199"/>
      <c r="AQ618" s="199"/>
      <c r="AR618" s="200"/>
      <c r="AS618" s="153"/>
      <c r="AT618" s="135"/>
      <c r="AW618" s="135"/>
      <c r="AX618" s="135"/>
      <c r="AY618" s="135"/>
      <c r="AZ618" s="135"/>
      <c r="BA618" s="135"/>
      <c r="BB618" s="135"/>
      <c r="BC618" s="135"/>
      <c r="BK618" s="135"/>
      <c r="BM618" s="176"/>
      <c r="BN618" s="139"/>
      <c r="BO618" s="136"/>
      <c r="BQ618" s="148"/>
      <c r="BR618" s="136"/>
      <c r="BS618" s="149"/>
      <c r="BT618" s="136"/>
      <c r="BW618" s="135"/>
    </row>
    <row r="619" spans="40:75" x14ac:dyDescent="0.2">
      <c r="AN619" s="224" t="s">
        <v>54</v>
      </c>
      <c r="AO619" s="225" t="s">
        <v>55</v>
      </c>
      <c r="AP619" s="226"/>
      <c r="AQ619" s="226">
        <v>1600.8</v>
      </c>
      <c r="AR619" s="215">
        <f>+ROUND(AP619*AQ619,2)</f>
        <v>0</v>
      </c>
      <c r="AS619" s="194"/>
      <c r="AT619" s="135"/>
      <c r="AW619" s="135"/>
      <c r="AX619" s="135"/>
      <c r="AY619" s="135"/>
      <c r="AZ619" s="135"/>
      <c r="BA619" s="135"/>
      <c r="BB619" s="135"/>
      <c r="BC619" s="135"/>
      <c r="BK619" s="135"/>
      <c r="BM619" s="176"/>
      <c r="BN619" s="139"/>
      <c r="BO619" s="136"/>
      <c r="BQ619" s="148"/>
      <c r="BR619" s="136"/>
      <c r="BS619" s="149"/>
      <c r="BT619" s="136"/>
      <c r="BW619" s="135"/>
    </row>
    <row r="620" spans="40:75" x14ac:dyDescent="0.2">
      <c r="AN620" s="224" t="s">
        <v>56</v>
      </c>
      <c r="AO620" s="225" t="s">
        <v>55</v>
      </c>
      <c r="AP620" s="226"/>
      <c r="AQ620" s="226">
        <v>1354.6999999999998</v>
      </c>
      <c r="AR620" s="215">
        <f>+ROUND(AP620*AQ620,2)</f>
        <v>0</v>
      </c>
      <c r="AS620" s="194"/>
      <c r="AT620" s="135"/>
      <c r="AW620" s="135"/>
      <c r="AX620" s="135"/>
      <c r="AY620" s="135"/>
      <c r="AZ620" s="135"/>
      <c r="BA620" s="135"/>
      <c r="BB620" s="135"/>
      <c r="BC620" s="135"/>
      <c r="BK620" s="135"/>
      <c r="BM620" s="176"/>
      <c r="BN620" s="139"/>
      <c r="BO620" s="136"/>
      <c r="BQ620" s="148"/>
      <c r="BR620" s="136"/>
      <c r="BS620" s="149"/>
      <c r="BT620" s="136"/>
      <c r="BW620" s="135"/>
    </row>
    <row r="621" spans="40:75" x14ac:dyDescent="0.2">
      <c r="AN621" s="248"/>
      <c r="AO621" s="249"/>
      <c r="AP621" s="219"/>
      <c r="AQ621" s="219"/>
      <c r="AR621" s="215"/>
      <c r="AS621" s="194"/>
      <c r="AT621" s="135"/>
      <c r="AW621" s="135"/>
      <c r="AX621" s="135"/>
      <c r="AY621" s="135"/>
      <c r="AZ621" s="135"/>
      <c r="BA621" s="135"/>
      <c r="BB621" s="135"/>
      <c r="BC621" s="135"/>
      <c r="BK621" s="135"/>
      <c r="BM621" s="176"/>
      <c r="BN621" s="139"/>
      <c r="BO621" s="136"/>
      <c r="BQ621" s="148"/>
      <c r="BR621" s="136"/>
      <c r="BS621" s="149"/>
      <c r="BT621" s="136"/>
      <c r="BW621" s="135"/>
    </row>
    <row r="622" spans="40:75" x14ac:dyDescent="0.2">
      <c r="AN622" s="232" t="s">
        <v>57</v>
      </c>
      <c r="AO622" s="233"/>
      <c r="AP622" s="234"/>
      <c r="AQ622" s="234"/>
      <c r="AR622" s="235">
        <f>SUM(AR619:AR621)</f>
        <v>0</v>
      </c>
      <c r="AS622" s="138">
        <f>+AR622/AR617</f>
        <v>0</v>
      </c>
      <c r="AT622" s="135"/>
      <c r="AW622" s="135"/>
      <c r="AX622" s="135"/>
      <c r="AY622" s="135"/>
      <c r="AZ622" s="135"/>
      <c r="BA622" s="135"/>
      <c r="BB622" s="135"/>
      <c r="BC622" s="135"/>
      <c r="BK622" s="135"/>
      <c r="BM622" s="176"/>
      <c r="BN622" s="139"/>
      <c r="BO622" s="136"/>
      <c r="BQ622" s="148"/>
      <c r="BR622" s="136"/>
      <c r="BS622" s="149"/>
      <c r="BT622" s="136"/>
      <c r="BW622" s="135"/>
    </row>
    <row r="623" spans="40:75" x14ac:dyDescent="0.2">
      <c r="AN623" s="197" t="s">
        <v>58</v>
      </c>
      <c r="AO623" s="198"/>
      <c r="AP623" s="199"/>
      <c r="AQ623" s="199"/>
      <c r="AR623" s="200"/>
      <c r="AS623" s="153"/>
      <c r="AT623" s="135"/>
      <c r="AW623" s="135"/>
      <c r="AX623" s="135"/>
      <c r="AY623" s="135"/>
      <c r="AZ623" s="135"/>
      <c r="BA623" s="135"/>
      <c r="BB623" s="135"/>
      <c r="BC623" s="135"/>
      <c r="BK623" s="135"/>
      <c r="BM623" s="176"/>
      <c r="BN623" s="139"/>
      <c r="BO623" s="136"/>
      <c r="BQ623" s="148"/>
      <c r="BR623" s="136"/>
      <c r="BS623" s="149"/>
      <c r="BT623" s="136"/>
      <c r="BW623" s="135"/>
    </row>
    <row r="624" spans="40:75" x14ac:dyDescent="0.2">
      <c r="AN624" s="252" t="s">
        <v>59</v>
      </c>
      <c r="AO624" s="213" t="s">
        <v>60</v>
      </c>
      <c r="AP624" s="226">
        <v>500</v>
      </c>
      <c r="AQ624" s="226">
        <v>1.9600688000000004</v>
      </c>
      <c r="AR624" s="215">
        <f>+ROUND(AP624*AQ624,2)</f>
        <v>980.03</v>
      </c>
      <c r="AS624" s="194"/>
      <c r="AT624" s="135"/>
      <c r="AU624" s="138"/>
      <c r="AW624" s="135"/>
      <c r="AX624" s="135"/>
      <c r="AY624" s="135"/>
      <c r="AZ624" s="135"/>
      <c r="BA624" s="135"/>
      <c r="BB624" s="135"/>
      <c r="BC624" s="135"/>
      <c r="BK624" s="135"/>
      <c r="BM624" s="176"/>
      <c r="BN624" s="139"/>
      <c r="BO624" s="136"/>
      <c r="BQ624" s="148"/>
      <c r="BR624" s="136"/>
      <c r="BS624" s="149"/>
      <c r="BT624" s="136"/>
      <c r="BW624" s="135"/>
    </row>
    <row r="625" spans="40:76" x14ac:dyDescent="0.2">
      <c r="AN625" s="202" t="s">
        <v>62</v>
      </c>
      <c r="AO625" s="250"/>
      <c r="AP625" s="168"/>
      <c r="AQ625" s="168"/>
      <c r="AR625" s="251">
        <f>SUM(AR624:AR624)</f>
        <v>980.03</v>
      </c>
      <c r="AS625" s="194"/>
      <c r="AT625" s="139"/>
      <c r="AW625" s="135"/>
      <c r="AX625" s="135"/>
      <c r="AY625" s="135"/>
      <c r="AZ625" s="135"/>
      <c r="BA625" s="135"/>
      <c r="BB625" s="135"/>
      <c r="BC625" s="135"/>
      <c r="BK625" s="135"/>
      <c r="BM625" s="176"/>
      <c r="BN625" s="139"/>
      <c r="BO625" s="136"/>
      <c r="BQ625" s="148"/>
      <c r="BR625" s="136"/>
      <c r="BS625" s="149"/>
      <c r="BT625" s="136"/>
      <c r="BW625" s="135"/>
    </row>
    <row r="626" spans="40:76" x14ac:dyDescent="0.2">
      <c r="AN626" s="253" t="s">
        <v>63</v>
      </c>
      <c r="AO626" s="233"/>
      <c r="AP626" s="254" t="s">
        <v>64</v>
      </c>
      <c r="AQ626" s="255"/>
      <c r="AR626" s="256">
        <f>+AR617+AR622+AR625</f>
        <v>4369139.54</v>
      </c>
      <c r="AS626" s="194"/>
      <c r="AT626" s="135"/>
      <c r="AW626" s="135"/>
      <c r="AX626" s="135"/>
      <c r="AY626" s="135"/>
      <c r="AZ626" s="135"/>
      <c r="BA626" s="135"/>
      <c r="BB626" s="135"/>
      <c r="BC626" s="135"/>
      <c r="BK626" s="135"/>
      <c r="BN626" s="139"/>
      <c r="BO626" s="136"/>
      <c r="BQ626" s="148"/>
      <c r="BR626" s="136"/>
      <c r="BS626" s="149"/>
      <c r="BT626" s="136"/>
      <c r="BW626" s="135"/>
    </row>
    <row r="627" spans="40:76" x14ac:dyDescent="0.2">
      <c r="AN627" s="152"/>
      <c r="AO627" s="148"/>
      <c r="AP627" s="206"/>
      <c r="AQ627" s="194"/>
      <c r="AR627" s="144"/>
      <c r="AS627" s="194"/>
      <c r="AT627" s="135"/>
      <c r="AW627" s="135"/>
      <c r="AX627" s="135"/>
      <c r="AY627" s="135"/>
      <c r="AZ627" s="135"/>
      <c r="BA627" s="135"/>
      <c r="BB627" s="135"/>
      <c r="BC627" s="135"/>
      <c r="BK627" s="135"/>
      <c r="BN627" s="139"/>
      <c r="BO627" s="136"/>
      <c r="BQ627" s="148"/>
      <c r="BR627" s="136"/>
      <c r="BS627" s="149"/>
      <c r="BT627" s="136"/>
      <c r="BW627" s="135"/>
    </row>
    <row r="628" spans="40:76" x14ac:dyDescent="0.2">
      <c r="AN628" s="155" t="s">
        <v>416</v>
      </c>
      <c r="AO628" s="169"/>
      <c r="AP628" s="172"/>
      <c r="AQ628" s="172"/>
      <c r="AR628" s="173"/>
      <c r="AS628" s="154"/>
      <c r="AT628" s="135"/>
      <c r="AW628" s="135"/>
      <c r="AX628" s="135"/>
      <c r="AY628" s="135"/>
      <c r="AZ628" s="135"/>
      <c r="BA628" s="135"/>
      <c r="BB628" s="135"/>
      <c r="BC628" s="135"/>
      <c r="BK628" s="135"/>
      <c r="BM628" s="176"/>
      <c r="BN628" s="139"/>
      <c r="BO628" s="136"/>
      <c r="BQ628" s="148"/>
      <c r="BR628" s="136"/>
      <c r="BS628" s="149"/>
      <c r="BT628" s="136"/>
      <c r="BW628" s="135"/>
    </row>
    <row r="629" spans="40:76" x14ac:dyDescent="0.2">
      <c r="AN629" s="177" t="s">
        <v>422</v>
      </c>
      <c r="AO629" s="150"/>
      <c r="AP629" s="178"/>
      <c r="AQ629" s="149"/>
      <c r="AR629" s="179" t="str">
        <f>$G$98</f>
        <v>Gl</v>
      </c>
      <c r="AS629" s="180">
        <f>$H$98</f>
        <v>1</v>
      </c>
      <c r="AT629" s="135"/>
      <c r="AW629" s="135"/>
      <c r="AX629" s="135"/>
      <c r="AY629" s="135"/>
      <c r="AZ629" s="135"/>
      <c r="BA629" s="135"/>
      <c r="BB629" s="135"/>
      <c r="BC629" s="135"/>
      <c r="BK629" s="135"/>
      <c r="BM629" s="176"/>
      <c r="BN629" s="139"/>
      <c r="BO629" s="136"/>
      <c r="BQ629" s="148"/>
      <c r="BR629" s="136"/>
      <c r="BS629" s="149"/>
      <c r="BT629" s="136"/>
      <c r="BW629" s="135"/>
    </row>
    <row r="630" spans="40:76" ht="16.5" thickBot="1" x14ac:dyDescent="0.25">
      <c r="AN630" s="364"/>
      <c r="AO630" s="184"/>
      <c r="AP630" s="185"/>
      <c r="AQ630" s="185"/>
      <c r="AR630" s="186"/>
      <c r="AT630" s="135"/>
      <c r="AW630" s="135"/>
      <c r="AX630" s="135"/>
      <c r="AY630" s="135"/>
      <c r="AZ630" s="135"/>
      <c r="BA630" s="135"/>
      <c r="BB630" s="135"/>
      <c r="BC630" s="135"/>
      <c r="BK630" s="135"/>
      <c r="BM630" s="176"/>
      <c r="BN630" s="139"/>
      <c r="BO630" s="136"/>
      <c r="BQ630" s="148"/>
      <c r="BR630" s="136"/>
      <c r="BS630" s="149"/>
      <c r="BT630" s="136"/>
      <c r="BW630" s="135"/>
    </row>
    <row r="631" spans="40:76" ht="16.5" thickTop="1" x14ac:dyDescent="0.2">
      <c r="AN631" s="191" t="s">
        <v>31</v>
      </c>
      <c r="AO631" s="192" t="s">
        <v>32</v>
      </c>
      <c r="AP631" s="192" t="s">
        <v>33</v>
      </c>
      <c r="AQ631" s="192" t="s">
        <v>1</v>
      </c>
      <c r="AR631" s="192" t="s">
        <v>34</v>
      </c>
      <c r="AS631" s="193" t="s">
        <v>76</v>
      </c>
      <c r="AT631" s="135"/>
      <c r="AW631" s="135"/>
      <c r="AX631" s="135"/>
      <c r="AY631" s="135"/>
      <c r="AZ631" s="135"/>
      <c r="BA631" s="135"/>
      <c r="BB631" s="135"/>
      <c r="BC631" s="135"/>
      <c r="BK631" s="135"/>
      <c r="BM631" s="176"/>
      <c r="BN631" s="139"/>
      <c r="BO631" s="136"/>
      <c r="BQ631" s="148"/>
      <c r="BR631" s="136"/>
      <c r="BS631" s="149"/>
      <c r="BT631" s="136"/>
      <c r="BW631" s="135"/>
    </row>
    <row r="632" spans="40:76" x14ac:dyDescent="0.2">
      <c r="AN632" s="197" t="s">
        <v>37</v>
      </c>
      <c r="AO632" s="198"/>
      <c r="AP632" s="199"/>
      <c r="AQ632" s="199"/>
      <c r="AR632" s="200"/>
      <c r="AS632" s="201"/>
      <c r="AT632" s="135"/>
      <c r="AW632" s="135"/>
      <c r="AX632" s="135"/>
      <c r="AY632" s="135"/>
      <c r="AZ632" s="135"/>
      <c r="BA632" s="135"/>
      <c r="BB632" s="135"/>
      <c r="BC632" s="135"/>
      <c r="BK632" s="135"/>
      <c r="BM632" s="176"/>
      <c r="BN632" s="139"/>
      <c r="BO632" s="136"/>
      <c r="BQ632" s="148"/>
      <c r="BR632" s="136"/>
      <c r="BS632" s="149"/>
      <c r="BT632" s="136"/>
      <c r="BW632" s="135"/>
    </row>
    <row r="633" spans="40:76" x14ac:dyDescent="0.2">
      <c r="AN633" s="216" t="s">
        <v>422</v>
      </c>
      <c r="AO633" s="225" t="s">
        <v>20</v>
      </c>
      <c r="AP633" s="226">
        <v>4</v>
      </c>
      <c r="AQ633" s="226">
        <v>924099.08000000007</v>
      </c>
      <c r="AR633" s="286">
        <f t="shared" ref="AR633:AR635" si="45">+ROUND(AP633*AQ633,2)</f>
        <v>3696396.32</v>
      </c>
      <c r="AS633" s="201"/>
      <c r="AT633" s="139"/>
      <c r="AW633" s="135"/>
      <c r="AX633" s="135"/>
      <c r="AY633" s="135"/>
      <c r="AZ633" s="135"/>
      <c r="BA633" s="135"/>
      <c r="BB633" s="135"/>
      <c r="BC633" s="135"/>
      <c r="BK633" s="135"/>
      <c r="BM633" s="176"/>
      <c r="BN633" s="139"/>
      <c r="BO633" s="136"/>
      <c r="BQ633" s="148"/>
      <c r="BR633" s="136"/>
      <c r="BS633" s="149"/>
      <c r="BT633" s="136"/>
      <c r="BW633" s="135"/>
    </row>
    <row r="634" spans="40:76" x14ac:dyDescent="0.2">
      <c r="AN634" s="216" t="s">
        <v>65</v>
      </c>
      <c r="AO634" s="213" t="s">
        <v>28</v>
      </c>
      <c r="AP634" s="214">
        <v>1</v>
      </c>
      <c r="AQ634" s="214">
        <v>73927.926399999997</v>
      </c>
      <c r="AR634" s="215">
        <f t="shared" si="45"/>
        <v>73927.929999999993</v>
      </c>
      <c r="AS634" s="201"/>
      <c r="AT634" s="135"/>
      <c r="AW634" s="135"/>
      <c r="AX634" s="135"/>
      <c r="AY634" s="135"/>
      <c r="AZ634" s="135"/>
      <c r="BA634" s="135"/>
      <c r="BB634" s="135"/>
      <c r="BC634" s="135"/>
      <c r="BK634" s="135"/>
      <c r="BM634" s="176"/>
      <c r="BN634" s="139"/>
      <c r="BO634" s="136"/>
      <c r="BQ634" s="148"/>
      <c r="BR634" s="136"/>
      <c r="BS634" s="149"/>
      <c r="BT634" s="136"/>
      <c r="BW634" s="135"/>
    </row>
    <row r="635" spans="40:76" x14ac:dyDescent="0.2">
      <c r="AN635" s="216" t="s">
        <v>50</v>
      </c>
      <c r="AO635" s="213" t="s">
        <v>28</v>
      </c>
      <c r="AP635" s="214">
        <v>0.03</v>
      </c>
      <c r="AQ635" s="214">
        <v>3770324.25</v>
      </c>
      <c r="AR635" s="215">
        <f t="shared" si="45"/>
        <v>113109.73</v>
      </c>
      <c r="AS635" s="201"/>
      <c r="AT635" s="135"/>
      <c r="AW635" s="135"/>
      <c r="AX635" s="135"/>
      <c r="AY635" s="135"/>
      <c r="AZ635" s="135"/>
      <c r="BA635" s="135"/>
      <c r="BB635" s="135"/>
      <c r="BC635" s="135"/>
      <c r="BK635" s="135"/>
      <c r="BM635" s="176"/>
      <c r="BN635" s="139"/>
      <c r="BO635" s="136"/>
      <c r="BQ635" s="148"/>
      <c r="BR635" s="136"/>
      <c r="BS635" s="149"/>
      <c r="BT635" s="136"/>
      <c r="BW635" s="135"/>
    </row>
    <row r="636" spans="40:76" x14ac:dyDescent="0.2">
      <c r="AN636" s="221"/>
      <c r="AO636" s="222"/>
      <c r="AP636" s="219"/>
      <c r="AQ636" s="219"/>
      <c r="AR636" s="223"/>
      <c r="AS636" s="201"/>
      <c r="AT636" s="135"/>
      <c r="AW636" s="135"/>
      <c r="AX636" s="135"/>
      <c r="AY636" s="135"/>
      <c r="AZ636" s="135"/>
      <c r="BA636" s="135"/>
      <c r="BB636" s="135"/>
      <c r="BC636" s="135"/>
      <c r="BK636" s="135"/>
      <c r="BM636" s="176"/>
      <c r="BN636" s="139"/>
      <c r="BO636" s="136"/>
      <c r="BQ636" s="148"/>
      <c r="BR636" s="136"/>
      <c r="BS636" s="149"/>
      <c r="BT636" s="136"/>
      <c r="BW636" s="135"/>
    </row>
    <row r="637" spans="40:76" x14ac:dyDescent="0.2">
      <c r="AN637" s="232" t="s">
        <v>51</v>
      </c>
      <c r="AO637" s="233"/>
      <c r="AP637" s="234"/>
      <c r="AQ637" s="234"/>
      <c r="AR637" s="235">
        <f>SUM(AR633:AR636)</f>
        <v>3883433.98</v>
      </c>
      <c r="AS637" s="235"/>
      <c r="AT637" s="135"/>
      <c r="AW637" s="135"/>
      <c r="AX637" s="135"/>
      <c r="AY637" s="135"/>
      <c r="AZ637" s="135"/>
      <c r="BA637" s="135"/>
      <c r="BB637" s="135"/>
      <c r="BC637" s="135"/>
      <c r="BK637" s="135"/>
      <c r="BM637" s="176"/>
      <c r="BN637" s="139"/>
      <c r="BO637" s="136"/>
      <c r="BQ637" s="148"/>
      <c r="BR637" s="136"/>
      <c r="BS637" s="149"/>
      <c r="BT637" s="136"/>
      <c r="BW637" s="135"/>
      <c r="BX637" s="369"/>
    </row>
    <row r="638" spans="40:76" x14ac:dyDescent="0.2">
      <c r="AN638" s="197" t="s">
        <v>53</v>
      </c>
      <c r="AO638" s="198"/>
      <c r="AP638" s="199"/>
      <c r="AQ638" s="199"/>
      <c r="AR638" s="200"/>
      <c r="AS638" s="153"/>
      <c r="AT638" s="135"/>
      <c r="AW638" s="135"/>
      <c r="AX638" s="135"/>
      <c r="AY638" s="135"/>
      <c r="AZ638" s="135"/>
      <c r="BA638" s="135"/>
      <c r="BB638" s="135"/>
      <c r="BC638" s="135"/>
      <c r="BK638" s="135"/>
      <c r="BM638" s="176"/>
      <c r="BN638" s="139"/>
      <c r="BO638" s="136"/>
      <c r="BQ638" s="148"/>
      <c r="BR638" s="136"/>
      <c r="BS638" s="149"/>
      <c r="BT638" s="136"/>
      <c r="BW638" s="135"/>
      <c r="BX638" s="369"/>
    </row>
    <row r="639" spans="40:76" x14ac:dyDescent="0.2">
      <c r="AN639" s="224" t="s">
        <v>54</v>
      </c>
      <c r="AO639" s="225" t="s">
        <v>55</v>
      </c>
      <c r="AP639" s="226"/>
      <c r="AQ639" s="226">
        <v>1600.8</v>
      </c>
      <c r="AR639" s="215">
        <f>+ROUND(AP639*AQ639,2)</f>
        <v>0</v>
      </c>
      <c r="AS639" s="194"/>
      <c r="AT639" s="135"/>
      <c r="AW639" s="135"/>
      <c r="AX639" s="135"/>
      <c r="AY639" s="135"/>
      <c r="AZ639" s="135"/>
      <c r="BA639" s="135"/>
      <c r="BB639" s="135"/>
      <c r="BC639" s="135"/>
      <c r="BK639" s="135"/>
      <c r="BM639" s="176"/>
      <c r="BN639" s="139"/>
      <c r="BO639" s="136"/>
      <c r="BQ639" s="148"/>
      <c r="BR639" s="136"/>
      <c r="BS639" s="149"/>
      <c r="BT639" s="136"/>
      <c r="BW639" s="135"/>
      <c r="BX639" s="369"/>
    </row>
    <row r="640" spans="40:76" x14ac:dyDescent="0.2">
      <c r="AN640" s="224" t="s">
        <v>56</v>
      </c>
      <c r="AO640" s="225" t="s">
        <v>55</v>
      </c>
      <c r="AP640" s="226"/>
      <c r="AQ640" s="226">
        <v>1354.6999999999998</v>
      </c>
      <c r="AR640" s="215">
        <f>+ROUND(AP640*AQ640,2)</f>
        <v>0</v>
      </c>
      <c r="AS640" s="194"/>
      <c r="AT640" s="135"/>
      <c r="AW640" s="135"/>
      <c r="AX640" s="135"/>
      <c r="AY640" s="135"/>
      <c r="AZ640" s="135"/>
      <c r="BA640" s="135"/>
      <c r="BB640" s="135"/>
      <c r="BC640" s="135"/>
      <c r="BK640" s="135"/>
      <c r="BM640" s="176"/>
      <c r="BN640" s="139"/>
      <c r="BO640" s="136"/>
      <c r="BQ640" s="148"/>
      <c r="BR640" s="136"/>
      <c r="BS640" s="149"/>
      <c r="BT640" s="136"/>
      <c r="BW640" s="135"/>
      <c r="BX640" s="369"/>
    </row>
    <row r="641" spans="40:75" x14ac:dyDescent="0.2">
      <c r="AN641" s="248"/>
      <c r="AO641" s="249"/>
      <c r="AP641" s="219"/>
      <c r="AQ641" s="219"/>
      <c r="AR641" s="215"/>
      <c r="AS641" s="194"/>
      <c r="AT641" s="135"/>
      <c r="AW641" s="135"/>
      <c r="AX641" s="135"/>
      <c r="AY641" s="135"/>
      <c r="AZ641" s="135"/>
      <c r="BA641" s="135"/>
      <c r="BB641" s="135"/>
      <c r="BC641" s="135"/>
      <c r="BK641" s="135"/>
      <c r="BM641" s="176"/>
      <c r="BN641" s="139"/>
      <c r="BO641" s="136"/>
      <c r="BQ641" s="148"/>
      <c r="BR641" s="136"/>
      <c r="BS641" s="149"/>
      <c r="BT641" s="136"/>
      <c r="BW641" s="135"/>
    </row>
    <row r="642" spans="40:75" x14ac:dyDescent="0.2">
      <c r="AN642" s="232" t="s">
        <v>57</v>
      </c>
      <c r="AO642" s="233"/>
      <c r="AP642" s="234"/>
      <c r="AQ642" s="234"/>
      <c r="AR642" s="235">
        <f>SUM(AR639:AR641)</f>
        <v>0</v>
      </c>
      <c r="AS642" s="138">
        <f>+AR642/AR637</f>
        <v>0</v>
      </c>
      <c r="AT642" s="135"/>
      <c r="AW642" s="135"/>
      <c r="AX642" s="135"/>
      <c r="AY642" s="135"/>
      <c r="AZ642" s="135"/>
      <c r="BA642" s="135"/>
      <c r="BB642" s="135"/>
      <c r="BC642" s="135"/>
      <c r="BK642" s="135"/>
      <c r="BM642" s="176"/>
      <c r="BN642" s="139"/>
      <c r="BO642" s="136"/>
      <c r="BQ642" s="148"/>
      <c r="BR642" s="136"/>
      <c r="BS642" s="149"/>
      <c r="BT642" s="136"/>
      <c r="BW642" s="135"/>
    </row>
    <row r="643" spans="40:75" x14ac:dyDescent="0.2">
      <c r="AN643" s="197" t="s">
        <v>58</v>
      </c>
      <c r="AO643" s="198"/>
      <c r="AP643" s="199"/>
      <c r="AQ643" s="199"/>
      <c r="AR643" s="200"/>
      <c r="AS643" s="153"/>
      <c r="AT643" s="135"/>
      <c r="AW643" s="135"/>
      <c r="AX643" s="135"/>
      <c r="AY643" s="135"/>
      <c r="AZ643" s="135"/>
      <c r="BA643" s="135"/>
      <c r="BB643" s="135"/>
      <c r="BC643" s="135"/>
      <c r="BK643" s="135"/>
      <c r="BM643" s="176"/>
      <c r="BN643" s="139"/>
      <c r="BO643" s="136"/>
      <c r="BQ643" s="148"/>
      <c r="BR643" s="136"/>
      <c r="BS643" s="149"/>
      <c r="BT643" s="136"/>
      <c r="BW643" s="135"/>
    </row>
    <row r="644" spans="40:75" x14ac:dyDescent="0.2">
      <c r="AN644" s="252" t="s">
        <v>59</v>
      </c>
      <c r="AO644" s="213" t="s">
        <v>60</v>
      </c>
      <c r="AP644" s="226">
        <v>500</v>
      </c>
      <c r="AQ644" s="226">
        <v>1.9600688000000004</v>
      </c>
      <c r="AR644" s="215">
        <f>+ROUND(AP644*AQ644,2)</f>
        <v>980.03</v>
      </c>
      <c r="AS644" s="194"/>
      <c r="AT644" s="135"/>
      <c r="AU644" s="138"/>
      <c r="AW644" s="135"/>
      <c r="AX644" s="135"/>
      <c r="AY644" s="135"/>
      <c r="AZ644" s="135"/>
      <c r="BA644" s="135"/>
      <c r="BB644" s="135"/>
      <c r="BC644" s="135"/>
      <c r="BK644" s="135"/>
      <c r="BM644" s="176"/>
      <c r="BN644" s="139"/>
      <c r="BO644" s="136"/>
      <c r="BQ644" s="148"/>
      <c r="BR644" s="136"/>
      <c r="BS644" s="149"/>
      <c r="BT644" s="136"/>
      <c r="BW644" s="135"/>
    </row>
    <row r="645" spans="40:75" x14ac:dyDescent="0.2">
      <c r="AN645" s="202" t="s">
        <v>62</v>
      </c>
      <c r="AO645" s="250"/>
      <c r="AP645" s="168"/>
      <c r="AQ645" s="168"/>
      <c r="AR645" s="251">
        <f>SUM(AR644:AR644)</f>
        <v>980.03</v>
      </c>
      <c r="AS645" s="194"/>
      <c r="AT645" s="139"/>
      <c r="AW645" s="135"/>
      <c r="AX645" s="135"/>
      <c r="AY645" s="135"/>
      <c r="AZ645" s="135"/>
      <c r="BA645" s="135"/>
      <c r="BB645" s="135"/>
      <c r="BC645" s="135"/>
      <c r="BK645" s="135"/>
      <c r="BM645" s="176"/>
      <c r="BN645" s="139"/>
      <c r="BO645" s="136"/>
      <c r="BQ645" s="148"/>
      <c r="BR645" s="136"/>
      <c r="BS645" s="149"/>
      <c r="BT645" s="136"/>
      <c r="BW645" s="135"/>
    </row>
    <row r="646" spans="40:75" x14ac:dyDescent="0.2">
      <c r="AN646" s="253" t="s">
        <v>63</v>
      </c>
      <c r="AO646" s="233"/>
      <c r="AP646" s="254" t="s">
        <v>64</v>
      </c>
      <c r="AQ646" s="255"/>
      <c r="AR646" s="256">
        <f>+AR637+AR642+AR645</f>
        <v>3884414.01</v>
      </c>
      <c r="AS646" s="194"/>
      <c r="AT646" s="135"/>
      <c r="AW646" s="135"/>
      <c r="AX646" s="135"/>
      <c r="AY646" s="135"/>
      <c r="AZ646" s="135"/>
      <c r="BA646" s="135"/>
      <c r="BB646" s="135"/>
      <c r="BC646" s="135"/>
      <c r="BK646" s="135"/>
      <c r="BM646" s="176"/>
      <c r="BN646" s="139"/>
      <c r="BO646" s="136"/>
      <c r="BQ646" s="148"/>
      <c r="BR646" s="136"/>
      <c r="BS646" s="149"/>
      <c r="BT646" s="136"/>
      <c r="BW646" s="135"/>
    </row>
    <row r="647" spans="40:75" x14ac:dyDescent="0.2">
      <c r="AN647" s="152"/>
      <c r="AO647" s="148"/>
      <c r="AP647" s="206"/>
      <c r="AQ647" s="194"/>
      <c r="AR647" s="144"/>
      <c r="AS647" s="194"/>
      <c r="AT647" s="135"/>
      <c r="AW647" s="135"/>
      <c r="AX647" s="135"/>
      <c r="AY647" s="135"/>
      <c r="AZ647" s="135"/>
      <c r="BA647" s="135"/>
      <c r="BB647" s="135"/>
      <c r="BC647" s="135"/>
      <c r="BK647" s="135"/>
      <c r="BM647" s="176"/>
      <c r="BN647" s="139"/>
      <c r="BO647" s="136"/>
      <c r="BQ647" s="148"/>
      <c r="BR647" s="136"/>
      <c r="BS647" s="149"/>
      <c r="BT647" s="136"/>
      <c r="BW647" s="135"/>
    </row>
    <row r="648" spans="40:75" x14ac:dyDescent="0.2">
      <c r="AN648" s="155" t="s">
        <v>416</v>
      </c>
      <c r="AO648" s="169"/>
      <c r="AP648" s="172"/>
      <c r="AQ648" s="172"/>
      <c r="AR648" s="173"/>
      <c r="AS648" s="154"/>
      <c r="AT648" s="135"/>
      <c r="AW648" s="135"/>
      <c r="AX648" s="135"/>
      <c r="AY648" s="135"/>
      <c r="AZ648" s="135"/>
      <c r="BA648" s="135"/>
      <c r="BB648" s="135"/>
      <c r="BC648" s="135"/>
      <c r="BK648" s="135"/>
      <c r="BM648" s="176"/>
      <c r="BN648" s="139"/>
      <c r="BO648" s="136"/>
      <c r="BQ648" s="148"/>
      <c r="BR648" s="136"/>
      <c r="BS648" s="149"/>
      <c r="BT648" s="136"/>
      <c r="BW648" s="135"/>
    </row>
    <row r="649" spans="40:75" x14ac:dyDescent="0.2">
      <c r="AN649" s="177" t="s">
        <v>423</v>
      </c>
      <c r="AO649" s="150"/>
      <c r="AP649" s="178"/>
      <c r="AQ649" s="149"/>
      <c r="AR649" s="179" t="str">
        <f>$G$99</f>
        <v>Gl</v>
      </c>
      <c r="AS649" s="180">
        <f>$H$99</f>
        <v>1</v>
      </c>
      <c r="AT649" s="135"/>
      <c r="AW649" s="135"/>
      <c r="AX649" s="135"/>
      <c r="AY649" s="135"/>
      <c r="AZ649" s="135"/>
      <c r="BA649" s="135"/>
      <c r="BB649" s="135"/>
      <c r="BC649" s="135"/>
      <c r="BK649" s="135"/>
      <c r="BM649" s="176"/>
      <c r="BN649" s="139"/>
      <c r="BO649" s="136"/>
      <c r="BQ649" s="148"/>
      <c r="BR649" s="136"/>
      <c r="BS649" s="149"/>
      <c r="BT649" s="136"/>
      <c r="BW649" s="135"/>
    </row>
    <row r="650" spans="40:75" ht="16.5" thickBot="1" x14ac:dyDescent="0.25">
      <c r="AN650" s="364"/>
      <c r="AO650" s="184"/>
      <c r="AP650" s="185"/>
      <c r="AQ650" s="185"/>
      <c r="AR650" s="186"/>
      <c r="AT650" s="135"/>
      <c r="AW650" s="135"/>
      <c r="AX650" s="135"/>
      <c r="AY650" s="135"/>
      <c r="AZ650" s="135"/>
      <c r="BA650" s="135"/>
      <c r="BB650" s="135"/>
      <c r="BC650" s="135"/>
      <c r="BK650" s="135"/>
      <c r="BM650" s="176"/>
      <c r="BN650" s="139"/>
      <c r="BO650" s="136"/>
      <c r="BQ650" s="148"/>
      <c r="BR650" s="136"/>
      <c r="BS650" s="149"/>
      <c r="BT650" s="136"/>
      <c r="BW650" s="135"/>
    </row>
    <row r="651" spans="40:75" ht="16.5" thickTop="1" x14ac:dyDescent="0.2">
      <c r="AN651" s="191" t="s">
        <v>31</v>
      </c>
      <c r="AO651" s="192" t="s">
        <v>32</v>
      </c>
      <c r="AP651" s="192" t="s">
        <v>33</v>
      </c>
      <c r="AQ651" s="192" t="s">
        <v>1</v>
      </c>
      <c r="AR651" s="192" t="s">
        <v>34</v>
      </c>
      <c r="AS651" s="193" t="s">
        <v>76</v>
      </c>
      <c r="AT651" s="135"/>
      <c r="AW651" s="135"/>
      <c r="AX651" s="135"/>
      <c r="AY651" s="135"/>
      <c r="AZ651" s="135"/>
      <c r="BA651" s="135"/>
      <c r="BB651" s="135"/>
      <c r="BC651" s="135"/>
      <c r="BK651" s="135"/>
      <c r="BM651" s="176"/>
      <c r="BN651" s="139"/>
      <c r="BO651" s="136"/>
      <c r="BQ651" s="148"/>
      <c r="BR651" s="136"/>
      <c r="BS651" s="149"/>
      <c r="BT651" s="136"/>
      <c r="BW651" s="135"/>
    </row>
    <row r="652" spans="40:75" x14ac:dyDescent="0.2">
      <c r="AN652" s="197" t="s">
        <v>37</v>
      </c>
      <c r="AO652" s="198"/>
      <c r="AP652" s="199"/>
      <c r="AQ652" s="199"/>
      <c r="AR652" s="200"/>
      <c r="AS652" s="201"/>
      <c r="AT652" s="135"/>
      <c r="AW652" s="135"/>
      <c r="AX652" s="135"/>
      <c r="AY652" s="135"/>
      <c r="AZ652" s="135"/>
      <c r="BA652" s="135"/>
      <c r="BB652" s="135"/>
      <c r="BC652" s="135"/>
      <c r="BK652" s="135"/>
      <c r="BM652" s="176"/>
      <c r="BN652" s="139"/>
      <c r="BO652" s="136"/>
      <c r="BQ652" s="148"/>
      <c r="BR652" s="136"/>
      <c r="BS652" s="149"/>
      <c r="BT652" s="136"/>
      <c r="BW652" s="135"/>
    </row>
    <row r="653" spans="40:75" x14ac:dyDescent="0.2">
      <c r="AN653" s="216" t="s">
        <v>423</v>
      </c>
      <c r="AO653" s="225" t="s">
        <v>20</v>
      </c>
      <c r="AP653" s="226">
        <v>4</v>
      </c>
      <c r="AQ653" s="226">
        <v>1829297.6800000002</v>
      </c>
      <c r="AR653" s="286">
        <f t="shared" ref="AR653:AR655" si="46">+ROUND(AP653*AQ653,2)</f>
        <v>7317190.7199999997</v>
      </c>
      <c r="AS653" s="201"/>
      <c r="AT653" s="139"/>
      <c r="AW653" s="135"/>
      <c r="AX653" s="135"/>
      <c r="AY653" s="135"/>
      <c r="AZ653" s="135"/>
      <c r="BA653" s="135"/>
      <c r="BB653" s="135"/>
      <c r="BC653" s="135"/>
      <c r="BK653" s="135"/>
      <c r="BM653" s="176"/>
      <c r="BN653" s="139"/>
      <c r="BO653" s="136"/>
      <c r="BQ653" s="148"/>
      <c r="BR653" s="136"/>
      <c r="BS653" s="149"/>
      <c r="BT653" s="136"/>
      <c r="BW653" s="135"/>
    </row>
    <row r="654" spans="40:75" x14ac:dyDescent="0.2">
      <c r="AN654" s="216" t="s">
        <v>65</v>
      </c>
      <c r="AO654" s="213" t="s">
        <v>28</v>
      </c>
      <c r="AP654" s="214">
        <v>1</v>
      </c>
      <c r="AQ654" s="214">
        <v>146343.8144</v>
      </c>
      <c r="AR654" s="215">
        <f t="shared" si="46"/>
        <v>146343.81</v>
      </c>
      <c r="AS654" s="201"/>
      <c r="AT654" s="135"/>
      <c r="AW654" s="135"/>
      <c r="AX654" s="135"/>
      <c r="AY654" s="135"/>
      <c r="AZ654" s="135"/>
      <c r="BA654" s="135"/>
      <c r="BB654" s="135"/>
      <c r="BC654" s="135"/>
      <c r="BK654" s="135"/>
      <c r="BM654" s="176"/>
      <c r="BN654" s="139"/>
      <c r="BO654" s="136"/>
      <c r="BQ654" s="148"/>
      <c r="BR654" s="136"/>
      <c r="BS654" s="149"/>
      <c r="BT654" s="136"/>
      <c r="BW654" s="135"/>
    </row>
    <row r="655" spans="40:75" x14ac:dyDescent="0.2">
      <c r="AN655" s="216" t="s">
        <v>50</v>
      </c>
      <c r="AO655" s="213" t="s">
        <v>28</v>
      </c>
      <c r="AP655" s="214">
        <v>0.03</v>
      </c>
      <c r="AQ655" s="214">
        <v>7463534.5299999993</v>
      </c>
      <c r="AR655" s="215">
        <f t="shared" si="46"/>
        <v>223906.04</v>
      </c>
      <c r="AS655" s="201"/>
      <c r="AT655" s="135"/>
      <c r="AW655" s="135"/>
      <c r="AX655" s="135"/>
      <c r="AY655" s="135"/>
      <c r="AZ655" s="135"/>
      <c r="BA655" s="135"/>
      <c r="BB655" s="135"/>
      <c r="BC655" s="135"/>
      <c r="BK655" s="135"/>
      <c r="BM655" s="176"/>
      <c r="BN655" s="139"/>
      <c r="BO655" s="136"/>
      <c r="BQ655" s="148"/>
      <c r="BR655" s="136"/>
      <c r="BS655" s="149"/>
      <c r="BT655" s="136"/>
      <c r="BW655" s="135"/>
    </row>
    <row r="656" spans="40:75" x14ac:dyDescent="0.2">
      <c r="AN656" s="221"/>
      <c r="AO656" s="222"/>
      <c r="AP656" s="219"/>
      <c r="AQ656" s="219"/>
      <c r="AR656" s="223"/>
      <c r="AS656" s="201"/>
      <c r="AT656" s="135"/>
      <c r="AW656" s="135"/>
      <c r="AX656" s="135"/>
      <c r="AY656" s="135"/>
      <c r="AZ656" s="135"/>
      <c r="BA656" s="135"/>
      <c r="BB656" s="135"/>
      <c r="BC656" s="135"/>
      <c r="BK656" s="135"/>
      <c r="BM656" s="176"/>
      <c r="BN656" s="139"/>
      <c r="BO656" s="136"/>
      <c r="BQ656" s="148"/>
      <c r="BR656" s="136"/>
      <c r="BS656" s="149"/>
      <c r="BT656" s="136"/>
      <c r="BW656" s="135"/>
    </row>
    <row r="657" spans="40:75" x14ac:dyDescent="0.2">
      <c r="AN657" s="232" t="s">
        <v>51</v>
      </c>
      <c r="AO657" s="233"/>
      <c r="AP657" s="234"/>
      <c r="AQ657" s="234"/>
      <c r="AR657" s="235">
        <f>SUM(AR653:AR656)</f>
        <v>7687440.5699999994</v>
      </c>
      <c r="AS657" s="235"/>
      <c r="AT657" s="135"/>
      <c r="AW657" s="135"/>
      <c r="AX657" s="135"/>
      <c r="AY657" s="135"/>
      <c r="AZ657" s="135"/>
      <c r="BA657" s="135"/>
      <c r="BB657" s="135"/>
      <c r="BC657" s="135"/>
      <c r="BK657" s="135"/>
      <c r="BM657" s="176"/>
      <c r="BN657" s="139"/>
      <c r="BO657" s="136"/>
      <c r="BQ657" s="148"/>
      <c r="BR657" s="136"/>
      <c r="BS657" s="149"/>
      <c r="BT657" s="136"/>
      <c r="BW657" s="135"/>
    </row>
    <row r="658" spans="40:75" x14ac:dyDescent="0.2">
      <c r="AN658" s="197" t="s">
        <v>53</v>
      </c>
      <c r="AO658" s="198"/>
      <c r="AP658" s="199"/>
      <c r="AQ658" s="199"/>
      <c r="AR658" s="200"/>
      <c r="AS658" s="153"/>
      <c r="AT658" s="135"/>
      <c r="AW658" s="135"/>
      <c r="AX658" s="135"/>
      <c r="AY658" s="135"/>
      <c r="AZ658" s="135"/>
      <c r="BA658" s="135"/>
      <c r="BB658" s="135"/>
      <c r="BC658" s="135"/>
      <c r="BK658" s="135"/>
      <c r="BM658" s="176"/>
      <c r="BN658" s="139"/>
      <c r="BO658" s="136"/>
      <c r="BQ658" s="148"/>
      <c r="BR658" s="136"/>
      <c r="BS658" s="149"/>
      <c r="BT658" s="136"/>
      <c r="BW658" s="135"/>
    </row>
    <row r="659" spans="40:75" x14ac:dyDescent="0.2">
      <c r="AN659" s="224" t="s">
        <v>54</v>
      </c>
      <c r="AO659" s="225" t="s">
        <v>55</v>
      </c>
      <c r="AP659" s="226"/>
      <c r="AQ659" s="226">
        <v>1600.8</v>
      </c>
      <c r="AR659" s="215">
        <f>+ROUND(AP659*AQ659,2)</f>
        <v>0</v>
      </c>
      <c r="AS659" s="194"/>
      <c r="AT659" s="135"/>
      <c r="AW659" s="135"/>
      <c r="AX659" s="135"/>
      <c r="AY659" s="135"/>
      <c r="AZ659" s="135"/>
      <c r="BA659" s="135"/>
      <c r="BB659" s="135"/>
      <c r="BC659" s="135"/>
      <c r="BK659" s="135"/>
      <c r="BM659" s="176"/>
      <c r="BN659" s="139"/>
      <c r="BO659" s="136"/>
      <c r="BQ659" s="148"/>
      <c r="BR659" s="136"/>
      <c r="BS659" s="149"/>
      <c r="BT659" s="136"/>
      <c r="BW659" s="135"/>
    </row>
    <row r="660" spans="40:75" x14ac:dyDescent="0.2">
      <c r="AN660" s="224" t="s">
        <v>56</v>
      </c>
      <c r="AO660" s="225" t="s">
        <v>55</v>
      </c>
      <c r="AP660" s="226"/>
      <c r="AQ660" s="226">
        <v>1354.6999999999998</v>
      </c>
      <c r="AR660" s="215">
        <f>+ROUND(AP660*AQ660,2)</f>
        <v>0</v>
      </c>
      <c r="AS660" s="194"/>
      <c r="AT660" s="135"/>
      <c r="AW660" s="135"/>
      <c r="AX660" s="135"/>
      <c r="AY660" s="135"/>
      <c r="AZ660" s="135"/>
      <c r="BA660" s="135"/>
      <c r="BB660" s="135"/>
      <c r="BC660" s="135"/>
      <c r="BK660" s="135"/>
      <c r="BM660" s="176"/>
      <c r="BN660" s="139"/>
      <c r="BO660" s="136"/>
      <c r="BQ660" s="148"/>
      <c r="BR660" s="136"/>
      <c r="BS660" s="149"/>
      <c r="BT660" s="136"/>
      <c r="BW660" s="135"/>
    </row>
    <row r="661" spans="40:75" x14ac:dyDescent="0.2">
      <c r="AN661" s="248"/>
      <c r="AO661" s="249"/>
      <c r="AP661" s="219"/>
      <c r="AQ661" s="219"/>
      <c r="AR661" s="215"/>
      <c r="AS661" s="194"/>
      <c r="AT661" s="135"/>
      <c r="AW661" s="135"/>
      <c r="AX661" s="135"/>
      <c r="AY661" s="135"/>
      <c r="AZ661" s="135"/>
      <c r="BA661" s="135"/>
      <c r="BB661" s="135"/>
      <c r="BC661" s="135"/>
      <c r="BK661" s="135"/>
      <c r="BM661" s="176"/>
      <c r="BN661" s="139"/>
      <c r="BO661" s="136"/>
      <c r="BQ661" s="148"/>
      <c r="BR661" s="136"/>
      <c r="BS661" s="149"/>
      <c r="BT661" s="136"/>
      <c r="BW661" s="135"/>
    </row>
    <row r="662" spans="40:75" x14ac:dyDescent="0.2">
      <c r="AN662" s="232" t="s">
        <v>57</v>
      </c>
      <c r="AO662" s="233"/>
      <c r="AP662" s="234"/>
      <c r="AQ662" s="234"/>
      <c r="AR662" s="235">
        <f>SUM(AR659:AR661)</f>
        <v>0</v>
      </c>
      <c r="AS662" s="138">
        <f>+AR662/AR657</f>
        <v>0</v>
      </c>
      <c r="AT662" s="135"/>
      <c r="AW662" s="135"/>
      <c r="AX662" s="135"/>
      <c r="AY662" s="135"/>
      <c r="AZ662" s="135"/>
      <c r="BA662" s="135"/>
      <c r="BB662" s="135"/>
      <c r="BC662" s="135"/>
      <c r="BK662" s="135"/>
      <c r="BM662" s="176"/>
      <c r="BN662" s="139"/>
      <c r="BO662" s="136"/>
      <c r="BQ662" s="148"/>
      <c r="BR662" s="136"/>
      <c r="BS662" s="149"/>
      <c r="BT662" s="136"/>
      <c r="BW662" s="135"/>
    </row>
    <row r="663" spans="40:75" x14ac:dyDescent="0.2">
      <c r="AN663" s="197" t="s">
        <v>58</v>
      </c>
      <c r="AO663" s="198"/>
      <c r="AP663" s="199"/>
      <c r="AQ663" s="199"/>
      <c r="AR663" s="200"/>
      <c r="AS663" s="153"/>
      <c r="AT663" s="135"/>
      <c r="AW663" s="135"/>
      <c r="AX663" s="135"/>
      <c r="AY663" s="135"/>
      <c r="AZ663" s="135"/>
      <c r="BA663" s="135"/>
      <c r="BB663" s="135"/>
      <c r="BC663" s="135"/>
      <c r="BK663" s="135"/>
      <c r="BM663" s="176"/>
      <c r="BN663" s="139"/>
      <c r="BO663" s="136"/>
      <c r="BQ663" s="148"/>
      <c r="BR663" s="136"/>
      <c r="BS663" s="149"/>
      <c r="BT663" s="136"/>
      <c r="BW663" s="135"/>
    </row>
    <row r="664" spans="40:75" x14ac:dyDescent="0.2">
      <c r="AN664" s="252" t="s">
        <v>59</v>
      </c>
      <c r="AO664" s="213" t="s">
        <v>60</v>
      </c>
      <c r="AP664" s="226">
        <v>500</v>
      </c>
      <c r="AQ664" s="226">
        <v>1.9600688000000004</v>
      </c>
      <c r="AR664" s="215">
        <f>+ROUND(AP664*AQ664,2)</f>
        <v>980.03</v>
      </c>
      <c r="AS664" s="194"/>
      <c r="AT664" s="135"/>
      <c r="AU664" s="138"/>
      <c r="AW664" s="135"/>
      <c r="AX664" s="135"/>
      <c r="AY664" s="135"/>
      <c r="AZ664" s="135"/>
      <c r="BA664" s="135"/>
      <c r="BB664" s="135"/>
      <c r="BC664" s="135"/>
      <c r="BK664" s="135"/>
      <c r="BM664" s="176"/>
      <c r="BN664" s="139"/>
      <c r="BO664" s="136"/>
      <c r="BQ664" s="148"/>
      <c r="BR664" s="136"/>
      <c r="BS664" s="149"/>
      <c r="BT664" s="136"/>
      <c r="BW664" s="135"/>
    </row>
    <row r="665" spans="40:75" x14ac:dyDescent="0.2">
      <c r="AN665" s="202" t="s">
        <v>62</v>
      </c>
      <c r="AO665" s="250"/>
      <c r="AP665" s="168"/>
      <c r="AQ665" s="168"/>
      <c r="AR665" s="251">
        <f>SUM(AR664:AR664)</f>
        <v>980.03</v>
      </c>
      <c r="AS665" s="194"/>
      <c r="AT665" s="139"/>
      <c r="AW665" s="135"/>
      <c r="AX665" s="135"/>
      <c r="AY665" s="135"/>
      <c r="AZ665" s="135"/>
      <c r="BA665" s="135"/>
      <c r="BB665" s="135"/>
      <c r="BC665" s="135"/>
      <c r="BK665" s="135"/>
      <c r="BM665" s="176"/>
      <c r="BN665" s="139"/>
      <c r="BO665" s="136"/>
      <c r="BQ665" s="148"/>
      <c r="BR665" s="136"/>
      <c r="BS665" s="149"/>
      <c r="BT665" s="136"/>
      <c r="BW665" s="135"/>
    </row>
    <row r="666" spans="40:75" x14ac:dyDescent="0.2">
      <c r="AN666" s="253" t="s">
        <v>63</v>
      </c>
      <c r="AO666" s="233"/>
      <c r="AP666" s="254" t="s">
        <v>64</v>
      </c>
      <c r="AQ666" s="255"/>
      <c r="AR666" s="256">
        <f>+AR657+AR662+AR665</f>
        <v>7688420.5999999996</v>
      </c>
      <c r="AS666" s="194"/>
      <c r="AT666" s="135"/>
      <c r="AW666" s="135"/>
      <c r="AX666" s="135"/>
      <c r="AY666" s="135"/>
      <c r="AZ666" s="135"/>
      <c r="BA666" s="135"/>
      <c r="BB666" s="135"/>
      <c r="BC666" s="135"/>
      <c r="BK666" s="135"/>
      <c r="BM666" s="176"/>
      <c r="BN666" s="139"/>
      <c r="BO666" s="136"/>
      <c r="BQ666" s="148"/>
      <c r="BR666" s="136"/>
      <c r="BS666" s="149"/>
      <c r="BT666" s="136"/>
      <c r="BW666" s="135"/>
    </row>
    <row r="667" spans="40:75" x14ac:dyDescent="0.2">
      <c r="AN667" s="152"/>
      <c r="AO667" s="148"/>
      <c r="AP667" s="206"/>
      <c r="AQ667" s="194"/>
      <c r="AR667" s="144"/>
      <c r="AS667" s="194"/>
      <c r="AT667" s="135"/>
      <c r="AW667" s="135"/>
      <c r="AX667" s="135"/>
      <c r="AY667" s="135"/>
      <c r="AZ667" s="135"/>
      <c r="BA667" s="135"/>
      <c r="BB667" s="135"/>
      <c r="BC667" s="135"/>
      <c r="BK667" s="135"/>
      <c r="BM667" s="176"/>
      <c r="BN667" s="139"/>
      <c r="BO667" s="136"/>
      <c r="BQ667" s="148"/>
      <c r="BR667" s="136"/>
      <c r="BS667" s="149"/>
      <c r="BT667" s="136"/>
      <c r="BW667" s="135"/>
    </row>
    <row r="668" spans="40:75" x14ac:dyDescent="0.2">
      <c r="AT668" s="135"/>
      <c r="AU668" s="174"/>
      <c r="AW668" s="135"/>
      <c r="AX668" s="135"/>
      <c r="AY668" s="135"/>
      <c r="AZ668" s="135"/>
      <c r="BA668" s="135"/>
      <c r="BB668" s="135"/>
      <c r="BC668" s="135"/>
      <c r="BK668" s="135"/>
      <c r="BM668" s="176"/>
      <c r="BN668" s="139"/>
      <c r="BO668" s="136"/>
      <c r="BQ668" s="148"/>
      <c r="BR668" s="136"/>
      <c r="BS668" s="149"/>
      <c r="BT668" s="136"/>
      <c r="BW668" s="135"/>
    </row>
    <row r="669" spans="40:75" x14ac:dyDescent="0.2">
      <c r="AT669" s="135"/>
      <c r="AU669" s="174"/>
      <c r="AW669" s="135"/>
      <c r="AX669" s="135"/>
      <c r="AY669" s="135"/>
      <c r="AZ669" s="135"/>
      <c r="BA669" s="135"/>
      <c r="BB669" s="135"/>
      <c r="BC669" s="135"/>
      <c r="BK669" s="135"/>
      <c r="BM669" s="176"/>
      <c r="BN669" s="139"/>
      <c r="BO669" s="136"/>
      <c r="BQ669" s="148"/>
      <c r="BR669" s="136"/>
      <c r="BS669" s="149"/>
      <c r="BT669" s="136"/>
      <c r="BW669" s="135"/>
    </row>
    <row r="670" spans="40:75" x14ac:dyDescent="0.2">
      <c r="AT670" s="135"/>
      <c r="AU670" s="174"/>
      <c r="AW670" s="135"/>
      <c r="AX670" s="135"/>
      <c r="AY670" s="135"/>
      <c r="AZ670" s="135"/>
      <c r="BA670" s="135"/>
      <c r="BB670" s="135"/>
      <c r="BC670" s="135"/>
      <c r="BK670" s="135"/>
      <c r="BM670" s="176"/>
      <c r="BN670" s="139"/>
      <c r="BO670" s="136"/>
      <c r="BQ670" s="148"/>
      <c r="BR670" s="136"/>
      <c r="BS670" s="149"/>
      <c r="BT670" s="136"/>
      <c r="BW670" s="135"/>
    </row>
    <row r="671" spans="40:75" x14ac:dyDescent="0.2">
      <c r="AN671" s="167"/>
      <c r="AW671" s="135"/>
      <c r="AX671" s="135"/>
      <c r="AY671" s="135"/>
      <c r="AZ671" s="135"/>
      <c r="BA671" s="135"/>
      <c r="BB671" s="135"/>
      <c r="BC671" s="135"/>
      <c r="BK671" s="135"/>
      <c r="BM671" s="176"/>
      <c r="BN671" s="139"/>
      <c r="BO671" s="136"/>
      <c r="BQ671" s="148"/>
      <c r="BR671" s="136"/>
      <c r="BS671" s="149"/>
      <c r="BT671" s="136"/>
      <c r="BW671" s="135"/>
    </row>
    <row r="672" spans="40:75" x14ac:dyDescent="0.2">
      <c r="AN672" s="167"/>
      <c r="AW672" s="135"/>
      <c r="AX672" s="135"/>
      <c r="AY672" s="135"/>
      <c r="AZ672" s="135"/>
      <c r="BA672" s="135"/>
      <c r="BB672" s="135"/>
      <c r="BC672" s="135"/>
      <c r="BK672" s="135"/>
      <c r="BM672" s="176"/>
      <c r="BN672" s="139"/>
      <c r="BO672" s="136"/>
      <c r="BQ672" s="148"/>
      <c r="BR672" s="136"/>
      <c r="BS672" s="149"/>
      <c r="BT672" s="136"/>
      <c r="BW672" s="135"/>
    </row>
    <row r="673" spans="32:75" x14ac:dyDescent="0.2">
      <c r="AN673" s="167"/>
      <c r="AW673" s="135"/>
      <c r="AX673" s="135"/>
      <c r="AY673" s="135"/>
      <c r="AZ673" s="135"/>
      <c r="BA673" s="135"/>
      <c r="BB673" s="135"/>
      <c r="BC673" s="135"/>
      <c r="BK673" s="135"/>
      <c r="BM673" s="176"/>
      <c r="BN673" s="139"/>
      <c r="BO673" s="136"/>
      <c r="BQ673" s="148"/>
      <c r="BR673" s="136"/>
      <c r="BS673" s="149"/>
      <c r="BT673" s="136"/>
      <c r="BW673" s="135"/>
    </row>
    <row r="674" spans="32:75" x14ac:dyDescent="0.2">
      <c r="AN674" s="167"/>
      <c r="AW674" s="135"/>
      <c r="AX674" s="135"/>
      <c r="AY674" s="135"/>
      <c r="AZ674" s="135"/>
      <c r="BA674" s="135"/>
      <c r="BB674" s="135"/>
      <c r="BC674" s="135"/>
      <c r="BK674" s="135"/>
      <c r="BM674" s="176"/>
      <c r="BN674" s="139"/>
      <c r="BO674" s="136"/>
      <c r="BQ674" s="148"/>
      <c r="BR674" s="136"/>
      <c r="BS674" s="149"/>
      <c r="BT674" s="136"/>
      <c r="BW674" s="135"/>
    </row>
    <row r="675" spans="32:75" x14ac:dyDescent="0.2">
      <c r="AG675" s="138"/>
      <c r="AH675" s="138"/>
      <c r="AI675" s="138"/>
      <c r="AJ675" s="138"/>
      <c r="AK675" s="138"/>
      <c r="AL675" s="138"/>
      <c r="AM675" s="138"/>
      <c r="AN675" s="167"/>
      <c r="AW675" s="135"/>
      <c r="AX675" s="135"/>
      <c r="AY675" s="135"/>
      <c r="AZ675" s="135"/>
      <c r="BA675" s="135"/>
      <c r="BB675" s="135"/>
      <c r="BC675" s="135"/>
      <c r="BK675" s="135"/>
      <c r="BM675" s="176"/>
      <c r="BN675" s="139"/>
      <c r="BO675" s="136"/>
      <c r="BQ675" s="148"/>
      <c r="BR675" s="136"/>
      <c r="BS675" s="149"/>
      <c r="BT675" s="136"/>
      <c r="BW675" s="135"/>
    </row>
    <row r="676" spans="32:75" x14ac:dyDescent="0.2">
      <c r="AF676" s="138"/>
      <c r="AN676" s="167"/>
      <c r="AW676" s="135"/>
      <c r="AX676" s="135"/>
      <c r="AY676" s="135"/>
      <c r="AZ676" s="135"/>
      <c r="BA676" s="135"/>
      <c r="BB676" s="135"/>
      <c r="BC676" s="135"/>
      <c r="BK676" s="135"/>
      <c r="BM676" s="176"/>
      <c r="BN676" s="139"/>
      <c r="BO676" s="136"/>
      <c r="BQ676" s="148"/>
      <c r="BR676" s="136"/>
      <c r="BS676" s="149"/>
      <c r="BT676" s="136"/>
      <c r="BW676" s="135"/>
    </row>
    <row r="677" spans="32:75" x14ac:dyDescent="0.2">
      <c r="AN677" s="167"/>
      <c r="AW677" s="135"/>
      <c r="AX677" s="135"/>
      <c r="AY677" s="135"/>
      <c r="AZ677" s="135"/>
      <c r="BA677" s="135"/>
      <c r="BB677" s="135"/>
      <c r="BC677" s="135"/>
      <c r="BK677" s="135"/>
      <c r="BM677" s="176"/>
      <c r="BN677" s="139"/>
      <c r="BO677" s="136"/>
      <c r="BQ677" s="148"/>
      <c r="BR677" s="136"/>
      <c r="BS677" s="149"/>
      <c r="BT677" s="136"/>
      <c r="BW677" s="135"/>
    </row>
    <row r="678" spans="32:75" x14ac:dyDescent="0.2">
      <c r="AN678" s="167"/>
      <c r="AW678" s="135"/>
      <c r="AX678" s="135"/>
      <c r="AY678" s="135"/>
      <c r="AZ678" s="135"/>
      <c r="BA678" s="135"/>
      <c r="BB678" s="135"/>
      <c r="BC678" s="135"/>
      <c r="BK678" s="135"/>
      <c r="BM678" s="176"/>
      <c r="BN678" s="139"/>
      <c r="BO678" s="136"/>
      <c r="BQ678" s="148"/>
      <c r="BR678" s="136"/>
      <c r="BS678" s="149"/>
      <c r="BT678" s="136"/>
      <c r="BW678" s="135"/>
    </row>
    <row r="679" spans="32:75" x14ac:dyDescent="0.2">
      <c r="AN679" s="167"/>
      <c r="AW679" s="135"/>
      <c r="AX679" s="135"/>
      <c r="AY679" s="135"/>
      <c r="AZ679" s="135"/>
      <c r="BA679" s="135"/>
      <c r="BB679" s="135"/>
      <c r="BC679" s="135"/>
      <c r="BK679" s="135"/>
      <c r="BM679" s="176"/>
      <c r="BN679" s="139"/>
      <c r="BO679" s="136"/>
      <c r="BQ679" s="148"/>
      <c r="BR679" s="136"/>
      <c r="BS679" s="149"/>
      <c r="BT679" s="136"/>
      <c r="BW679" s="135"/>
    </row>
    <row r="680" spans="32:75" x14ac:dyDescent="0.2">
      <c r="AN680" s="167"/>
      <c r="AW680" s="135"/>
      <c r="AX680" s="135"/>
      <c r="AY680" s="135"/>
      <c r="AZ680" s="135"/>
      <c r="BA680" s="135"/>
      <c r="BB680" s="135"/>
      <c r="BC680" s="135"/>
      <c r="BK680" s="135"/>
      <c r="BM680" s="176"/>
      <c r="BN680" s="139"/>
      <c r="BO680" s="136"/>
      <c r="BQ680" s="148"/>
      <c r="BR680" s="136"/>
      <c r="BS680" s="149"/>
      <c r="BT680" s="136"/>
      <c r="BW680" s="135"/>
    </row>
    <row r="681" spans="32:75" x14ac:dyDescent="0.2">
      <c r="AN681" s="143"/>
      <c r="AO681" s="143"/>
      <c r="AP681" s="143"/>
      <c r="AQ681" s="143"/>
      <c r="AR681" s="143"/>
      <c r="AS681" s="143"/>
      <c r="AT681" s="143"/>
      <c r="AU681" s="143"/>
      <c r="AW681" s="135"/>
      <c r="AX681" s="135"/>
      <c r="AY681" s="135"/>
      <c r="AZ681" s="135"/>
      <c r="BA681" s="135"/>
      <c r="BB681" s="135"/>
      <c r="BC681" s="135"/>
      <c r="BK681" s="135"/>
      <c r="BM681" s="176"/>
      <c r="BN681" s="139"/>
      <c r="BO681" s="136"/>
      <c r="BQ681" s="148"/>
      <c r="BR681" s="136"/>
      <c r="BS681" s="149"/>
      <c r="BT681" s="136"/>
      <c r="BW681" s="135"/>
    </row>
    <row r="682" spans="32:75" x14ac:dyDescent="0.2">
      <c r="AN682" s="143"/>
      <c r="AO682" s="143"/>
      <c r="AP682" s="143"/>
      <c r="AQ682" s="143"/>
      <c r="AR682" s="143"/>
      <c r="AS682" s="143"/>
      <c r="AT682" s="143"/>
      <c r="AU682" s="143"/>
      <c r="AW682" s="135"/>
      <c r="AX682" s="135"/>
      <c r="AY682" s="135"/>
      <c r="AZ682" s="135"/>
      <c r="BA682" s="135"/>
      <c r="BB682" s="135"/>
      <c r="BC682" s="135"/>
      <c r="BK682" s="135"/>
      <c r="BM682" s="176"/>
      <c r="BN682" s="139"/>
      <c r="BO682" s="136"/>
      <c r="BQ682" s="148"/>
      <c r="BR682" s="136"/>
      <c r="BS682" s="149"/>
      <c r="BT682" s="136"/>
      <c r="BW682" s="135"/>
    </row>
    <row r="683" spans="32:75" x14ac:dyDescent="0.2">
      <c r="AN683" s="143"/>
      <c r="AO683" s="143"/>
      <c r="AP683" s="143"/>
      <c r="AQ683" s="143"/>
      <c r="AR683" s="143"/>
      <c r="AS683" s="143"/>
      <c r="AT683" s="143"/>
      <c r="AU683" s="143"/>
      <c r="AW683" s="135"/>
      <c r="AX683" s="135"/>
      <c r="AY683" s="135"/>
      <c r="AZ683" s="135"/>
      <c r="BA683" s="135"/>
      <c r="BB683" s="135"/>
      <c r="BC683" s="135"/>
      <c r="BK683" s="135"/>
      <c r="BM683" s="176"/>
      <c r="BN683" s="139"/>
      <c r="BO683" s="136"/>
      <c r="BQ683" s="148"/>
      <c r="BR683" s="136"/>
      <c r="BS683" s="149"/>
      <c r="BT683" s="136"/>
      <c r="BW683" s="135"/>
    </row>
    <row r="684" spans="32:75" x14ac:dyDescent="0.2">
      <c r="AN684" s="174"/>
      <c r="AO684" s="174"/>
      <c r="AP684" s="174"/>
      <c r="AQ684" s="174"/>
      <c r="AR684" s="174"/>
      <c r="AS684" s="174"/>
      <c r="AT684" s="174"/>
      <c r="AU684" s="174"/>
      <c r="AW684" s="135"/>
      <c r="AX684" s="135"/>
      <c r="AY684" s="135"/>
      <c r="AZ684" s="135"/>
      <c r="BA684" s="135"/>
      <c r="BB684" s="135"/>
      <c r="BC684" s="135"/>
      <c r="BK684" s="135"/>
      <c r="BM684" s="176"/>
      <c r="BN684" s="139"/>
      <c r="BO684" s="136"/>
      <c r="BQ684" s="148"/>
      <c r="BR684" s="136"/>
      <c r="BS684" s="149"/>
      <c r="BT684" s="136"/>
      <c r="BW684" s="135"/>
    </row>
    <row r="685" spans="32:75" x14ac:dyDescent="0.2">
      <c r="AN685" s="143"/>
      <c r="AO685" s="143"/>
      <c r="AP685" s="143"/>
      <c r="AQ685" s="143"/>
      <c r="AR685" s="143"/>
      <c r="AS685" s="143"/>
      <c r="AT685" s="143"/>
      <c r="AU685" s="143"/>
      <c r="AW685" s="135"/>
      <c r="AX685" s="135"/>
      <c r="AY685" s="135"/>
      <c r="AZ685" s="135"/>
      <c r="BA685" s="135"/>
      <c r="BB685" s="135"/>
      <c r="BC685" s="135"/>
      <c r="BK685" s="135"/>
      <c r="BM685" s="176"/>
      <c r="BN685" s="139"/>
      <c r="BO685" s="136"/>
      <c r="BQ685" s="148"/>
      <c r="BR685" s="136"/>
      <c r="BS685" s="149"/>
      <c r="BT685" s="136"/>
      <c r="BW685" s="135"/>
    </row>
    <row r="686" spans="32:75" x14ac:dyDescent="0.2">
      <c r="AN686" s="143"/>
      <c r="AO686" s="143"/>
      <c r="AP686" s="143"/>
      <c r="AQ686" s="143"/>
      <c r="AR686" s="143"/>
      <c r="AS686" s="143"/>
      <c r="AT686" s="143"/>
      <c r="AU686" s="143"/>
      <c r="AW686" s="135"/>
      <c r="AX686" s="135"/>
      <c r="AY686" s="135"/>
      <c r="AZ686" s="135"/>
      <c r="BA686" s="135"/>
      <c r="BB686" s="135"/>
      <c r="BC686" s="135"/>
      <c r="BK686" s="135"/>
      <c r="BM686" s="176"/>
      <c r="BN686" s="139"/>
      <c r="BO686" s="136"/>
      <c r="BQ686" s="148"/>
      <c r="BR686" s="136"/>
      <c r="BS686" s="149"/>
      <c r="BT686" s="136"/>
      <c r="BW686" s="135"/>
    </row>
    <row r="687" spans="32:75" x14ac:dyDescent="0.2">
      <c r="AN687" s="143"/>
      <c r="AO687" s="143"/>
      <c r="AP687" s="143"/>
      <c r="AQ687" s="143"/>
      <c r="AR687" s="143"/>
      <c r="AS687" s="143"/>
      <c r="AT687" s="143"/>
      <c r="AU687" s="143"/>
      <c r="AW687" s="135"/>
      <c r="AX687" s="135"/>
      <c r="AY687" s="135"/>
      <c r="AZ687" s="135"/>
      <c r="BA687" s="135"/>
      <c r="BB687" s="135"/>
      <c r="BC687" s="135"/>
      <c r="BK687" s="135"/>
      <c r="BM687" s="176"/>
      <c r="BN687" s="139"/>
      <c r="BO687" s="136"/>
      <c r="BQ687" s="148"/>
      <c r="BR687" s="136"/>
      <c r="BS687" s="149"/>
      <c r="BT687" s="136"/>
      <c r="BW687" s="135"/>
    </row>
    <row r="688" spans="32:75" x14ac:dyDescent="0.2">
      <c r="AN688" s="143"/>
      <c r="AO688" s="143"/>
      <c r="AP688" s="143"/>
      <c r="AQ688" s="143"/>
      <c r="AR688" s="143"/>
      <c r="AS688" s="143"/>
      <c r="AT688" s="143"/>
      <c r="AU688" s="143"/>
      <c r="AW688" s="135"/>
      <c r="AX688" s="135"/>
      <c r="AY688" s="135"/>
      <c r="AZ688" s="135"/>
      <c r="BA688" s="135"/>
      <c r="BB688" s="135"/>
      <c r="BC688" s="135"/>
      <c r="BK688" s="135"/>
      <c r="BM688" s="176"/>
      <c r="BN688" s="139"/>
      <c r="BO688" s="136"/>
      <c r="BQ688" s="148"/>
      <c r="BR688" s="136"/>
      <c r="BS688" s="149"/>
      <c r="BT688" s="136"/>
      <c r="BW688" s="135"/>
    </row>
    <row r="689" spans="40:75" x14ac:dyDescent="0.2">
      <c r="AN689" s="143"/>
      <c r="AO689" s="143"/>
      <c r="AP689" s="143"/>
      <c r="AQ689" s="143"/>
      <c r="AR689" s="143"/>
      <c r="AS689" s="143"/>
      <c r="AT689" s="143"/>
      <c r="AU689" s="143"/>
      <c r="AW689" s="135"/>
      <c r="AX689" s="135"/>
      <c r="AY689" s="135"/>
      <c r="AZ689" s="135"/>
      <c r="BA689" s="135"/>
      <c r="BB689" s="135"/>
      <c r="BC689" s="135"/>
      <c r="BK689" s="135"/>
      <c r="BM689" s="176"/>
      <c r="BN689" s="139"/>
      <c r="BO689" s="136"/>
      <c r="BQ689" s="148"/>
      <c r="BR689" s="136"/>
      <c r="BS689" s="149"/>
      <c r="BT689" s="136"/>
      <c r="BW689" s="135"/>
    </row>
    <row r="690" spans="40:75" x14ac:dyDescent="0.2">
      <c r="AN690" s="143"/>
      <c r="AO690" s="143"/>
      <c r="AP690" s="143"/>
      <c r="AQ690" s="143"/>
      <c r="AR690" s="143"/>
      <c r="AS690" s="143"/>
      <c r="AT690" s="143"/>
      <c r="AU690" s="143"/>
      <c r="AW690" s="135"/>
      <c r="AX690" s="135"/>
      <c r="AY690" s="135"/>
      <c r="AZ690" s="135"/>
      <c r="BA690" s="135"/>
      <c r="BB690" s="135"/>
      <c r="BC690" s="135"/>
      <c r="BK690" s="135"/>
      <c r="BM690" s="176"/>
      <c r="BN690" s="139"/>
      <c r="BO690" s="136"/>
      <c r="BQ690" s="148"/>
      <c r="BR690" s="136"/>
      <c r="BS690" s="149"/>
      <c r="BT690" s="136"/>
      <c r="BW690" s="135"/>
    </row>
    <row r="691" spans="40:75" x14ac:dyDescent="0.2">
      <c r="AN691" s="143"/>
      <c r="AO691" s="143"/>
      <c r="AP691" s="143"/>
      <c r="AQ691" s="143"/>
      <c r="AR691" s="143"/>
      <c r="AS691" s="143"/>
      <c r="AT691" s="143"/>
      <c r="AU691" s="143"/>
      <c r="AW691" s="135"/>
      <c r="AX691" s="135"/>
      <c r="AY691" s="135"/>
      <c r="AZ691" s="135"/>
      <c r="BA691" s="135"/>
      <c r="BB691" s="135"/>
      <c r="BC691" s="135"/>
      <c r="BK691" s="135"/>
      <c r="BM691" s="176"/>
      <c r="BN691" s="139"/>
      <c r="BO691" s="136"/>
      <c r="BQ691" s="148"/>
      <c r="BR691" s="136"/>
      <c r="BS691" s="149"/>
      <c r="BT691" s="136"/>
      <c r="BW691" s="135"/>
    </row>
    <row r="692" spans="40:75" x14ac:dyDescent="0.2">
      <c r="AN692" s="143"/>
      <c r="AO692" s="143"/>
      <c r="AP692" s="143"/>
      <c r="AQ692" s="143"/>
      <c r="AR692" s="143"/>
      <c r="AS692" s="143"/>
      <c r="AT692" s="143"/>
      <c r="AU692" s="143"/>
      <c r="AW692" s="135"/>
      <c r="AX692" s="135"/>
      <c r="AY692" s="135"/>
      <c r="AZ692" s="135"/>
      <c r="BA692" s="135"/>
      <c r="BB692" s="135"/>
      <c r="BC692" s="135"/>
      <c r="BK692" s="135"/>
      <c r="BM692" s="176"/>
      <c r="BN692" s="139"/>
      <c r="BO692" s="136"/>
      <c r="BQ692" s="148"/>
      <c r="BR692" s="136"/>
      <c r="BS692" s="149"/>
      <c r="BT692" s="136"/>
      <c r="BW692" s="135"/>
    </row>
    <row r="693" spans="40:75" x14ac:dyDescent="0.2">
      <c r="AN693" s="143"/>
      <c r="AO693" s="143"/>
      <c r="AP693" s="143"/>
      <c r="AQ693" s="143"/>
      <c r="AR693" s="143"/>
      <c r="AS693" s="143"/>
      <c r="AT693" s="143"/>
      <c r="AU693" s="143"/>
      <c r="AW693" s="135"/>
      <c r="AX693" s="135"/>
      <c r="AY693" s="135"/>
      <c r="AZ693" s="135"/>
      <c r="BA693" s="135"/>
      <c r="BB693" s="135"/>
      <c r="BC693" s="135"/>
      <c r="BK693" s="135"/>
      <c r="BM693" s="176"/>
      <c r="BN693" s="139"/>
      <c r="BO693" s="136"/>
      <c r="BQ693" s="148"/>
      <c r="BR693" s="136"/>
      <c r="BS693" s="149"/>
      <c r="BT693" s="136"/>
      <c r="BW693" s="135"/>
    </row>
    <row r="694" spans="40:75" x14ac:dyDescent="0.2">
      <c r="AN694" s="143"/>
      <c r="AO694" s="143"/>
      <c r="AP694" s="143"/>
      <c r="AQ694" s="143"/>
      <c r="AR694" s="143"/>
      <c r="AS694" s="143"/>
      <c r="AT694" s="143"/>
      <c r="AU694" s="143"/>
      <c r="AW694" s="135"/>
      <c r="AX694" s="135"/>
      <c r="AY694" s="135"/>
      <c r="AZ694" s="135"/>
      <c r="BA694" s="135"/>
      <c r="BB694" s="135"/>
      <c r="BC694" s="135"/>
      <c r="BK694" s="135"/>
      <c r="BM694" s="176"/>
      <c r="BN694" s="139"/>
      <c r="BO694" s="136"/>
      <c r="BQ694" s="148"/>
      <c r="BR694" s="136"/>
      <c r="BS694" s="149"/>
      <c r="BT694" s="136"/>
      <c r="BW694" s="135"/>
    </row>
    <row r="695" spans="40:75" x14ac:dyDescent="0.2">
      <c r="AN695" s="143"/>
      <c r="AO695" s="143"/>
      <c r="AP695" s="143"/>
      <c r="AQ695" s="143"/>
      <c r="AR695" s="143"/>
      <c r="AS695" s="143"/>
      <c r="AT695" s="143"/>
      <c r="AU695" s="143"/>
      <c r="AW695" s="135"/>
      <c r="AX695" s="135"/>
      <c r="AY695" s="135"/>
      <c r="AZ695" s="135"/>
      <c r="BA695" s="135"/>
      <c r="BB695" s="135"/>
      <c r="BC695" s="135"/>
      <c r="BK695" s="135"/>
      <c r="BM695" s="176"/>
      <c r="BN695" s="139"/>
      <c r="BO695" s="136"/>
      <c r="BQ695" s="148"/>
      <c r="BR695" s="136"/>
      <c r="BS695" s="149"/>
      <c r="BT695" s="136"/>
      <c r="BW695" s="135"/>
    </row>
    <row r="696" spans="40:75" x14ac:dyDescent="0.2">
      <c r="AN696" s="143"/>
      <c r="AO696" s="143"/>
      <c r="AP696" s="143"/>
      <c r="AQ696" s="143"/>
      <c r="AR696" s="143"/>
      <c r="AS696" s="143"/>
      <c r="AT696" s="143"/>
      <c r="AU696" s="143"/>
      <c r="AW696" s="135"/>
      <c r="AX696" s="135"/>
      <c r="AY696" s="135"/>
      <c r="AZ696" s="135"/>
      <c r="BA696" s="135"/>
      <c r="BB696" s="135"/>
      <c r="BC696" s="135"/>
      <c r="BK696" s="135"/>
      <c r="BM696" s="176"/>
      <c r="BN696" s="139"/>
      <c r="BO696" s="136"/>
      <c r="BQ696" s="148"/>
      <c r="BR696" s="136"/>
      <c r="BS696" s="149"/>
      <c r="BT696" s="136"/>
      <c r="BW696" s="135"/>
    </row>
    <row r="697" spans="40:75" x14ac:dyDescent="0.2">
      <c r="AN697" s="143"/>
      <c r="AO697" s="143"/>
      <c r="AP697" s="143"/>
      <c r="AQ697" s="143"/>
      <c r="AR697" s="143"/>
      <c r="AS697" s="143"/>
      <c r="AT697" s="143"/>
      <c r="AU697" s="143"/>
      <c r="AW697" s="135"/>
      <c r="AX697" s="135"/>
      <c r="AY697" s="135"/>
      <c r="AZ697" s="135"/>
      <c r="BA697" s="135"/>
      <c r="BB697" s="135"/>
      <c r="BC697" s="135"/>
      <c r="BK697" s="135"/>
      <c r="BM697" s="176"/>
      <c r="BN697" s="139"/>
      <c r="BO697" s="136"/>
      <c r="BQ697" s="148"/>
      <c r="BR697" s="136"/>
      <c r="BS697" s="149"/>
      <c r="BT697" s="136"/>
      <c r="BW697" s="135"/>
    </row>
    <row r="698" spans="40:75" x14ac:dyDescent="0.2">
      <c r="AN698" s="143"/>
      <c r="AO698" s="143"/>
      <c r="AP698" s="143"/>
      <c r="AQ698" s="143"/>
      <c r="AR698" s="143"/>
      <c r="AS698" s="143"/>
      <c r="AT698" s="143"/>
      <c r="AU698" s="143"/>
      <c r="AW698" s="135"/>
      <c r="AX698" s="135"/>
      <c r="AY698" s="135"/>
      <c r="AZ698" s="135"/>
      <c r="BA698" s="135"/>
      <c r="BB698" s="135"/>
      <c r="BC698" s="135"/>
      <c r="BK698" s="135"/>
      <c r="BM698" s="176"/>
      <c r="BN698" s="139"/>
      <c r="BO698" s="136"/>
      <c r="BQ698" s="148"/>
      <c r="BR698" s="136"/>
      <c r="BS698" s="149"/>
      <c r="BT698" s="136"/>
      <c r="BW698" s="135"/>
    </row>
    <row r="699" spans="40:75" x14ac:dyDescent="0.2">
      <c r="AN699" s="143"/>
      <c r="AO699" s="143"/>
      <c r="AP699" s="143"/>
      <c r="AQ699" s="143"/>
      <c r="AR699" s="143"/>
      <c r="AS699" s="143"/>
      <c r="AT699" s="143"/>
      <c r="AU699" s="143"/>
      <c r="AW699" s="135"/>
      <c r="AX699" s="135"/>
      <c r="AY699" s="135"/>
      <c r="AZ699" s="135"/>
      <c r="BA699" s="135"/>
      <c r="BB699" s="135"/>
      <c r="BC699" s="135"/>
      <c r="BK699" s="135"/>
      <c r="BM699" s="176"/>
      <c r="BN699" s="139"/>
      <c r="BO699" s="136"/>
      <c r="BQ699" s="148"/>
      <c r="BR699" s="136"/>
      <c r="BS699" s="149"/>
      <c r="BT699" s="136"/>
      <c r="BW699" s="135"/>
    </row>
    <row r="700" spans="40:75" x14ac:dyDescent="0.2">
      <c r="AN700" s="143"/>
      <c r="AO700" s="143"/>
      <c r="AP700" s="143"/>
      <c r="AQ700" s="143"/>
      <c r="AR700" s="143"/>
      <c r="AS700" s="143"/>
      <c r="AT700" s="143"/>
      <c r="AU700" s="143"/>
      <c r="AW700" s="135"/>
      <c r="AX700" s="135"/>
      <c r="AY700" s="135"/>
      <c r="AZ700" s="135"/>
      <c r="BA700" s="135"/>
      <c r="BB700" s="135"/>
      <c r="BC700" s="135"/>
      <c r="BK700" s="135"/>
      <c r="BM700" s="176"/>
      <c r="BN700" s="139"/>
      <c r="BO700" s="136"/>
      <c r="BQ700" s="148"/>
      <c r="BR700" s="136"/>
      <c r="BS700" s="149"/>
      <c r="BT700" s="136"/>
      <c r="BW700" s="135"/>
    </row>
    <row r="701" spans="40:75" x14ac:dyDescent="0.2">
      <c r="AN701" s="143"/>
      <c r="AO701" s="143"/>
      <c r="AP701" s="143"/>
      <c r="AQ701" s="143"/>
      <c r="AR701" s="143"/>
      <c r="AS701" s="143"/>
      <c r="AT701" s="143"/>
      <c r="AU701" s="143"/>
      <c r="AW701" s="135"/>
      <c r="AX701" s="135"/>
      <c r="AY701" s="135"/>
      <c r="AZ701" s="135"/>
      <c r="BA701" s="135"/>
      <c r="BB701" s="135"/>
      <c r="BC701" s="135"/>
      <c r="BK701" s="135"/>
      <c r="BM701" s="176"/>
      <c r="BN701" s="139"/>
      <c r="BO701" s="136"/>
      <c r="BQ701" s="148"/>
      <c r="BR701" s="136"/>
      <c r="BS701" s="149"/>
      <c r="BT701" s="136"/>
      <c r="BW701" s="135"/>
    </row>
    <row r="702" spans="40:75" x14ac:dyDescent="0.2">
      <c r="AN702" s="143"/>
      <c r="AO702" s="143"/>
      <c r="AP702" s="143"/>
      <c r="AQ702" s="143"/>
      <c r="AR702" s="143"/>
      <c r="AS702" s="143"/>
      <c r="AT702" s="143"/>
      <c r="AU702" s="143"/>
      <c r="AW702" s="135"/>
      <c r="AX702" s="135"/>
      <c r="AY702" s="135"/>
      <c r="AZ702" s="135"/>
      <c r="BA702" s="135"/>
      <c r="BB702" s="135"/>
      <c r="BC702" s="135"/>
      <c r="BK702" s="135"/>
      <c r="BM702" s="176"/>
      <c r="BN702" s="139"/>
      <c r="BO702" s="136"/>
      <c r="BQ702" s="148"/>
      <c r="BR702" s="136"/>
      <c r="BS702" s="149"/>
      <c r="BT702" s="136"/>
      <c r="BW702" s="135"/>
    </row>
    <row r="703" spans="40:75" x14ac:dyDescent="0.2">
      <c r="AN703" s="143"/>
      <c r="AO703" s="143"/>
      <c r="AP703" s="143"/>
      <c r="AQ703" s="143"/>
      <c r="AR703" s="143"/>
      <c r="AS703" s="143"/>
      <c r="AT703" s="143"/>
      <c r="AU703" s="143"/>
      <c r="AW703" s="135"/>
      <c r="AX703" s="135"/>
      <c r="AY703" s="135"/>
      <c r="AZ703" s="135"/>
      <c r="BA703" s="135"/>
      <c r="BB703" s="135"/>
      <c r="BC703" s="135"/>
      <c r="BK703" s="135"/>
      <c r="BM703" s="176"/>
      <c r="BN703" s="139"/>
      <c r="BO703" s="136"/>
      <c r="BQ703" s="148"/>
      <c r="BR703" s="136"/>
      <c r="BS703" s="149"/>
      <c r="BT703" s="136"/>
      <c r="BW703" s="135"/>
    </row>
    <row r="704" spans="40:75" x14ac:dyDescent="0.2">
      <c r="AN704" s="174"/>
      <c r="AO704" s="174"/>
      <c r="AP704" s="174"/>
      <c r="AQ704" s="174"/>
      <c r="AR704" s="174"/>
      <c r="AS704" s="174"/>
      <c r="AT704" s="174"/>
      <c r="AU704" s="174"/>
      <c r="AW704" s="135"/>
      <c r="AX704" s="135"/>
      <c r="AY704" s="135"/>
      <c r="AZ704" s="135"/>
      <c r="BA704" s="135"/>
      <c r="BB704" s="135"/>
      <c r="BC704" s="135"/>
      <c r="BK704" s="135"/>
      <c r="BM704" s="176"/>
      <c r="BN704" s="139"/>
      <c r="BO704" s="136"/>
      <c r="BQ704" s="148"/>
      <c r="BR704" s="136"/>
      <c r="BS704" s="149"/>
      <c r="BT704" s="136"/>
      <c r="BW704" s="135"/>
    </row>
    <row r="705" spans="40:75" x14ac:dyDescent="0.2">
      <c r="AN705" s="143"/>
      <c r="AO705" s="143"/>
      <c r="AP705" s="143"/>
      <c r="AQ705" s="143"/>
      <c r="AR705" s="143"/>
      <c r="AS705" s="143"/>
      <c r="AT705" s="143"/>
      <c r="AU705" s="143"/>
      <c r="AW705" s="135"/>
      <c r="AX705" s="135"/>
      <c r="AY705" s="135"/>
      <c r="AZ705" s="135"/>
      <c r="BA705" s="135"/>
      <c r="BB705" s="135"/>
      <c r="BC705" s="135"/>
      <c r="BK705" s="135"/>
      <c r="BM705" s="176"/>
      <c r="BN705" s="139"/>
      <c r="BO705" s="136"/>
      <c r="BQ705" s="148"/>
      <c r="BR705" s="136"/>
      <c r="BS705" s="149"/>
      <c r="BT705" s="136"/>
      <c r="BW705" s="135"/>
    </row>
    <row r="706" spans="40:75" x14ac:dyDescent="0.2">
      <c r="AN706" s="143"/>
      <c r="AO706" s="143"/>
      <c r="AP706" s="143"/>
      <c r="AQ706" s="143"/>
      <c r="AR706" s="143"/>
      <c r="AS706" s="143"/>
      <c r="AT706" s="143"/>
      <c r="AU706" s="143"/>
      <c r="AW706" s="135"/>
      <c r="AX706" s="135"/>
      <c r="AY706" s="135"/>
      <c r="AZ706" s="135"/>
      <c r="BA706" s="135"/>
      <c r="BB706" s="135"/>
      <c r="BC706" s="135"/>
      <c r="BK706" s="135"/>
      <c r="BM706" s="176"/>
      <c r="BN706" s="139"/>
      <c r="BO706" s="136"/>
      <c r="BQ706" s="148"/>
      <c r="BR706" s="136"/>
      <c r="BS706" s="149"/>
      <c r="BT706" s="136"/>
      <c r="BW706" s="135"/>
    </row>
    <row r="707" spans="40:75" x14ac:dyDescent="0.2">
      <c r="AN707" s="143"/>
      <c r="AO707" s="143"/>
      <c r="AP707" s="143"/>
      <c r="AQ707" s="143"/>
      <c r="AR707" s="143"/>
      <c r="AS707" s="143"/>
      <c r="AT707" s="143"/>
      <c r="AU707" s="143"/>
      <c r="AW707" s="135"/>
      <c r="AX707" s="135"/>
      <c r="AY707" s="135"/>
      <c r="AZ707" s="135"/>
      <c r="BA707" s="135"/>
      <c r="BB707" s="135"/>
      <c r="BC707" s="135"/>
      <c r="BK707" s="135"/>
      <c r="BM707" s="176"/>
      <c r="BN707" s="139"/>
      <c r="BO707" s="136"/>
      <c r="BQ707" s="148"/>
      <c r="BR707" s="136"/>
      <c r="BS707" s="149"/>
      <c r="BT707" s="136"/>
      <c r="BW707" s="135"/>
    </row>
    <row r="708" spans="40:75" x14ac:dyDescent="0.2">
      <c r="AN708" s="143"/>
      <c r="AO708" s="143"/>
      <c r="AP708" s="143"/>
      <c r="AQ708" s="143"/>
      <c r="AR708" s="143"/>
      <c r="AS708" s="143"/>
      <c r="AT708" s="143"/>
      <c r="AU708" s="143"/>
      <c r="AW708" s="135"/>
      <c r="AX708" s="135"/>
      <c r="AY708" s="135"/>
      <c r="AZ708" s="135"/>
      <c r="BA708" s="135"/>
      <c r="BB708" s="135"/>
      <c r="BC708" s="135"/>
      <c r="BK708" s="135"/>
      <c r="BL708" s="176"/>
      <c r="BM708" s="176"/>
      <c r="BN708" s="139"/>
      <c r="BO708" s="136"/>
      <c r="BQ708" s="148"/>
      <c r="BR708" s="136"/>
      <c r="BS708" s="149"/>
      <c r="BT708" s="136"/>
      <c r="BW708" s="135"/>
    </row>
    <row r="709" spans="40:75" x14ac:dyDescent="0.2">
      <c r="AN709" s="143"/>
      <c r="AO709" s="143"/>
      <c r="AP709" s="143"/>
      <c r="AQ709" s="143"/>
      <c r="AR709" s="143"/>
      <c r="AS709" s="143"/>
      <c r="AT709" s="143"/>
      <c r="AU709" s="143"/>
      <c r="AW709" s="135"/>
      <c r="AX709" s="135"/>
      <c r="AY709" s="135"/>
      <c r="AZ709" s="135"/>
      <c r="BA709" s="135"/>
      <c r="BB709" s="135"/>
      <c r="BC709" s="135"/>
      <c r="BK709" s="135"/>
      <c r="BL709" s="195"/>
      <c r="BM709" s="176"/>
      <c r="BN709" s="139"/>
      <c r="BO709" s="136"/>
      <c r="BQ709" s="148"/>
      <c r="BR709" s="136"/>
      <c r="BS709" s="149"/>
      <c r="BT709" s="136"/>
      <c r="BW709" s="135"/>
    </row>
    <row r="710" spans="40:75" x14ac:dyDescent="0.2">
      <c r="AN710" s="143"/>
      <c r="AO710" s="143"/>
      <c r="AP710" s="143"/>
      <c r="AQ710" s="143"/>
      <c r="AR710" s="143"/>
      <c r="AS710" s="143"/>
      <c r="AT710" s="143"/>
      <c r="AU710" s="143"/>
      <c r="AW710" s="135"/>
      <c r="AX710" s="135"/>
      <c r="AY710" s="135"/>
      <c r="AZ710" s="135"/>
      <c r="BA710" s="135"/>
      <c r="BB710" s="135"/>
      <c r="BC710" s="135"/>
      <c r="BK710" s="135"/>
      <c r="BM710" s="176"/>
      <c r="BN710" s="139"/>
      <c r="BO710" s="136"/>
      <c r="BQ710" s="148"/>
      <c r="BR710" s="136"/>
      <c r="BS710" s="149"/>
      <c r="BT710" s="136"/>
      <c r="BW710" s="135"/>
    </row>
    <row r="711" spans="40:75" x14ac:dyDescent="0.2">
      <c r="AN711" s="143"/>
      <c r="AO711" s="143"/>
      <c r="AP711" s="143"/>
      <c r="AQ711" s="143"/>
      <c r="AR711" s="143"/>
      <c r="AS711" s="143"/>
      <c r="AT711" s="143"/>
      <c r="AU711" s="143"/>
      <c r="AW711" s="135"/>
      <c r="AX711" s="135"/>
      <c r="AY711" s="135"/>
      <c r="AZ711" s="135"/>
      <c r="BA711" s="135"/>
      <c r="BB711" s="135"/>
      <c r="BC711" s="135"/>
      <c r="BK711" s="135"/>
      <c r="BM711" s="176"/>
      <c r="BN711" s="139"/>
      <c r="BO711" s="136"/>
      <c r="BQ711" s="148"/>
      <c r="BR711" s="136"/>
      <c r="BS711" s="149"/>
      <c r="BT711" s="136"/>
      <c r="BW711" s="135"/>
    </row>
    <row r="712" spans="40:75" x14ac:dyDescent="0.2">
      <c r="AN712" s="143"/>
      <c r="AO712" s="143"/>
      <c r="AP712" s="143"/>
      <c r="AQ712" s="143"/>
      <c r="AR712" s="143"/>
      <c r="AS712" s="143"/>
      <c r="AT712" s="143"/>
      <c r="AU712" s="143"/>
      <c r="AW712" s="135"/>
      <c r="AX712" s="135"/>
      <c r="AY712" s="135"/>
      <c r="AZ712" s="135"/>
      <c r="BA712" s="135"/>
      <c r="BB712" s="135"/>
      <c r="BC712" s="135"/>
      <c r="BK712" s="135"/>
      <c r="BM712" s="176"/>
      <c r="BN712" s="139"/>
      <c r="BO712" s="136"/>
      <c r="BQ712" s="148"/>
      <c r="BR712" s="136"/>
      <c r="BS712" s="149"/>
      <c r="BT712" s="136"/>
      <c r="BW712" s="135"/>
    </row>
    <row r="713" spans="40:75" x14ac:dyDescent="0.2">
      <c r="AN713" s="143"/>
      <c r="AO713" s="143"/>
      <c r="AP713" s="143"/>
      <c r="AQ713" s="143"/>
      <c r="AR713" s="143"/>
      <c r="AS713" s="143"/>
      <c r="AT713" s="143"/>
      <c r="AU713" s="143"/>
      <c r="AW713" s="135"/>
      <c r="AX713" s="135"/>
      <c r="AY713" s="135"/>
      <c r="AZ713" s="135"/>
      <c r="BA713" s="135"/>
      <c r="BB713" s="135"/>
      <c r="BC713" s="135"/>
      <c r="BK713" s="135"/>
      <c r="BM713" s="176"/>
      <c r="BN713" s="139"/>
      <c r="BO713" s="136"/>
      <c r="BQ713" s="148"/>
      <c r="BR713" s="136"/>
      <c r="BS713" s="149"/>
      <c r="BT713" s="136"/>
      <c r="BW713" s="135"/>
    </row>
    <row r="714" spans="40:75" x14ac:dyDescent="0.2">
      <c r="AN714" s="143"/>
      <c r="AO714" s="143"/>
      <c r="AP714" s="143"/>
      <c r="AQ714" s="143"/>
      <c r="AR714" s="143"/>
      <c r="AS714" s="143"/>
      <c r="AT714" s="143"/>
      <c r="AU714" s="143"/>
      <c r="AW714" s="135"/>
      <c r="AX714" s="135"/>
      <c r="AY714" s="135"/>
      <c r="AZ714" s="135"/>
      <c r="BA714" s="135"/>
      <c r="BB714" s="135"/>
      <c r="BC714" s="135"/>
      <c r="BK714" s="176"/>
      <c r="BM714" s="176"/>
      <c r="BN714" s="139"/>
      <c r="BO714" s="136"/>
      <c r="BQ714" s="148"/>
      <c r="BR714" s="136"/>
      <c r="BS714" s="149"/>
      <c r="BT714" s="136"/>
      <c r="BW714" s="135"/>
    </row>
    <row r="715" spans="40:75" x14ac:dyDescent="0.2">
      <c r="AN715" s="143"/>
      <c r="AO715" s="143"/>
      <c r="AP715" s="143"/>
      <c r="AQ715" s="143"/>
      <c r="AR715" s="143"/>
      <c r="AS715" s="143"/>
      <c r="AT715" s="143"/>
      <c r="AU715" s="143"/>
      <c r="AW715" s="135"/>
      <c r="AX715" s="135"/>
      <c r="AY715" s="135"/>
      <c r="AZ715" s="135"/>
      <c r="BA715" s="135"/>
      <c r="BB715" s="135"/>
      <c r="BC715" s="135"/>
      <c r="BK715" s="195"/>
      <c r="BM715" s="176"/>
      <c r="BN715" s="139"/>
      <c r="BO715" s="136"/>
      <c r="BQ715" s="148"/>
      <c r="BR715" s="136"/>
      <c r="BS715" s="149"/>
      <c r="BT715" s="136"/>
      <c r="BW715" s="135"/>
    </row>
    <row r="716" spans="40:75" x14ac:dyDescent="0.2">
      <c r="AN716" s="143"/>
      <c r="AO716" s="143"/>
      <c r="AP716" s="143"/>
      <c r="AQ716" s="143"/>
      <c r="AR716" s="143"/>
      <c r="AS716" s="143"/>
      <c r="AT716" s="143"/>
      <c r="AU716" s="143"/>
      <c r="AW716" s="135"/>
      <c r="AX716" s="135"/>
      <c r="AY716" s="135"/>
      <c r="AZ716" s="135"/>
      <c r="BA716" s="135"/>
      <c r="BB716" s="135"/>
      <c r="BC716" s="135"/>
      <c r="BK716" s="135"/>
      <c r="BM716" s="176"/>
      <c r="BN716" s="139"/>
      <c r="BO716" s="136"/>
      <c r="BQ716" s="148"/>
      <c r="BR716" s="136"/>
      <c r="BS716" s="149"/>
      <c r="BT716" s="136"/>
      <c r="BW716" s="135"/>
    </row>
    <row r="717" spans="40:75" x14ac:dyDescent="0.2">
      <c r="AN717" s="143"/>
      <c r="AO717" s="143"/>
      <c r="AP717" s="143"/>
      <c r="AQ717" s="143"/>
      <c r="AR717" s="143"/>
      <c r="AS717" s="143"/>
      <c r="AT717" s="143"/>
      <c r="AU717" s="143"/>
      <c r="AW717" s="135"/>
      <c r="AX717" s="135"/>
      <c r="AY717" s="135"/>
      <c r="AZ717" s="135"/>
      <c r="BA717" s="135"/>
      <c r="BB717" s="135"/>
      <c r="BC717" s="135"/>
      <c r="BK717" s="135"/>
      <c r="BM717" s="176"/>
      <c r="BN717" s="139"/>
      <c r="BO717" s="136"/>
      <c r="BQ717" s="148"/>
      <c r="BR717" s="136"/>
      <c r="BS717" s="149"/>
      <c r="BT717" s="136"/>
      <c r="BW717" s="135"/>
    </row>
    <row r="718" spans="40:75" x14ac:dyDescent="0.2">
      <c r="AN718" s="143"/>
      <c r="AO718" s="143"/>
      <c r="AP718" s="143"/>
      <c r="AQ718" s="143"/>
      <c r="AR718" s="143"/>
      <c r="AS718" s="143"/>
      <c r="AT718" s="143"/>
      <c r="AU718" s="143"/>
      <c r="AW718" s="135"/>
      <c r="AX718" s="135"/>
      <c r="AY718" s="135"/>
      <c r="AZ718" s="135"/>
      <c r="BA718" s="135"/>
      <c r="BB718" s="135"/>
      <c r="BC718" s="135"/>
      <c r="BK718" s="135"/>
      <c r="BM718" s="176"/>
      <c r="BN718" s="139"/>
      <c r="BO718" s="136"/>
      <c r="BQ718" s="148"/>
      <c r="BR718" s="136"/>
      <c r="BS718" s="149"/>
      <c r="BT718" s="136"/>
      <c r="BW718" s="135"/>
    </row>
    <row r="719" spans="40:75" x14ac:dyDescent="0.2">
      <c r="AN719" s="143"/>
      <c r="AO719" s="143"/>
      <c r="AP719" s="143"/>
      <c r="AQ719" s="143"/>
      <c r="AR719" s="143"/>
      <c r="AS719" s="143"/>
      <c r="AT719" s="143"/>
      <c r="AU719" s="143"/>
      <c r="AW719" s="135"/>
      <c r="AX719" s="135"/>
      <c r="AY719" s="135"/>
      <c r="AZ719" s="135"/>
      <c r="BA719" s="135"/>
      <c r="BB719" s="135"/>
      <c r="BC719" s="135"/>
      <c r="BK719" s="135"/>
      <c r="BM719" s="176"/>
      <c r="BN719" s="139"/>
      <c r="BO719" s="136"/>
      <c r="BQ719" s="148"/>
      <c r="BR719" s="136"/>
      <c r="BS719" s="149"/>
      <c r="BT719" s="136"/>
      <c r="BW719" s="135"/>
    </row>
    <row r="720" spans="40:75" x14ac:dyDescent="0.2">
      <c r="AN720" s="143"/>
      <c r="AO720" s="143"/>
      <c r="AP720" s="143"/>
      <c r="AQ720" s="143"/>
      <c r="AR720" s="143"/>
      <c r="AS720" s="143"/>
      <c r="AT720" s="143"/>
      <c r="AU720" s="143"/>
      <c r="AW720" s="135"/>
      <c r="AX720" s="135"/>
      <c r="AY720" s="135"/>
      <c r="AZ720" s="135"/>
      <c r="BA720" s="135"/>
      <c r="BB720" s="135"/>
      <c r="BC720" s="135"/>
      <c r="BK720" s="135"/>
      <c r="BM720" s="176"/>
      <c r="BN720" s="139"/>
      <c r="BO720" s="136"/>
      <c r="BQ720" s="148"/>
      <c r="BR720" s="136"/>
      <c r="BS720" s="149"/>
      <c r="BT720" s="136"/>
      <c r="BW720" s="135"/>
    </row>
    <row r="721" spans="40:75" x14ac:dyDescent="0.2">
      <c r="AN721" s="143"/>
      <c r="AO721" s="143"/>
      <c r="AP721" s="143"/>
      <c r="AQ721" s="143"/>
      <c r="AR721" s="143"/>
      <c r="AS721" s="143"/>
      <c r="AT721" s="143"/>
      <c r="AU721" s="143"/>
      <c r="AW721" s="135"/>
      <c r="AX721" s="135"/>
      <c r="AY721" s="135"/>
      <c r="AZ721" s="135"/>
      <c r="BA721" s="135"/>
      <c r="BB721" s="135"/>
      <c r="BC721" s="135"/>
      <c r="BK721" s="135"/>
      <c r="BM721" s="176"/>
      <c r="BN721" s="139"/>
      <c r="BO721" s="136"/>
      <c r="BQ721" s="148"/>
      <c r="BR721" s="136"/>
      <c r="BS721" s="149"/>
      <c r="BT721" s="136"/>
      <c r="BW721" s="135"/>
    </row>
    <row r="722" spans="40:75" x14ac:dyDescent="0.2">
      <c r="AN722" s="143"/>
      <c r="AO722" s="143"/>
      <c r="AP722" s="143"/>
      <c r="AQ722" s="143"/>
      <c r="AR722" s="143"/>
      <c r="AS722" s="143"/>
      <c r="AT722" s="143"/>
      <c r="AU722" s="143"/>
      <c r="AW722" s="135"/>
      <c r="AX722" s="135"/>
      <c r="AY722" s="135"/>
      <c r="AZ722" s="135"/>
      <c r="BA722" s="135"/>
      <c r="BB722" s="135"/>
      <c r="BC722" s="135"/>
      <c r="BK722" s="135"/>
      <c r="BM722" s="176"/>
      <c r="BN722" s="139"/>
      <c r="BO722" s="136"/>
      <c r="BQ722" s="148"/>
      <c r="BR722" s="136"/>
      <c r="BS722" s="149"/>
      <c r="BT722" s="136"/>
      <c r="BW722" s="135"/>
    </row>
    <row r="723" spans="40:75" x14ac:dyDescent="0.2">
      <c r="AN723" s="174"/>
      <c r="AO723" s="174"/>
      <c r="AP723" s="174"/>
      <c r="AQ723" s="174"/>
      <c r="AR723" s="174"/>
      <c r="AS723" s="174"/>
      <c r="AT723" s="174"/>
      <c r="AU723" s="174"/>
      <c r="AW723" s="135"/>
      <c r="AX723" s="135"/>
      <c r="AY723" s="135"/>
      <c r="AZ723" s="135"/>
      <c r="BA723" s="135"/>
      <c r="BB723" s="135"/>
      <c r="BC723" s="135"/>
      <c r="BK723" s="135"/>
      <c r="BM723" s="176"/>
      <c r="BN723" s="139"/>
      <c r="BO723" s="136"/>
      <c r="BQ723" s="148"/>
      <c r="BR723" s="136"/>
      <c r="BS723" s="149"/>
      <c r="BT723" s="136"/>
      <c r="BW723" s="135"/>
    </row>
    <row r="724" spans="40:75" x14ac:dyDescent="0.2">
      <c r="AN724" s="143"/>
      <c r="AO724" s="143"/>
      <c r="AP724" s="143"/>
      <c r="AQ724" s="143"/>
      <c r="AR724" s="143"/>
      <c r="AS724" s="143"/>
      <c r="AT724" s="143"/>
      <c r="AU724" s="143"/>
      <c r="AW724" s="135"/>
      <c r="AX724" s="135"/>
      <c r="AY724" s="135"/>
      <c r="AZ724" s="135"/>
      <c r="BA724" s="135"/>
      <c r="BB724" s="135"/>
      <c r="BC724" s="135"/>
      <c r="BK724" s="135"/>
      <c r="BM724" s="176"/>
      <c r="BN724" s="139"/>
      <c r="BO724" s="136"/>
      <c r="BQ724" s="148"/>
      <c r="BR724" s="136"/>
      <c r="BS724" s="149"/>
      <c r="BT724" s="136"/>
      <c r="BW724" s="135"/>
    </row>
    <row r="725" spans="40:75" x14ac:dyDescent="0.2">
      <c r="AN725" s="143"/>
      <c r="AO725" s="143"/>
      <c r="AP725" s="143"/>
      <c r="AQ725" s="143"/>
      <c r="AR725" s="143"/>
      <c r="AS725" s="143"/>
      <c r="AT725" s="143"/>
      <c r="AU725" s="143"/>
      <c r="AW725" s="135"/>
      <c r="AX725" s="135"/>
      <c r="AY725" s="135"/>
      <c r="AZ725" s="135"/>
      <c r="BA725" s="135"/>
      <c r="BB725" s="135"/>
      <c r="BC725" s="135"/>
      <c r="BK725" s="135"/>
      <c r="BM725" s="176"/>
      <c r="BN725" s="139"/>
      <c r="BO725" s="136"/>
      <c r="BQ725" s="148"/>
      <c r="BR725" s="136"/>
      <c r="BS725" s="149"/>
      <c r="BT725" s="136"/>
      <c r="BW725" s="135"/>
    </row>
    <row r="726" spans="40:75" x14ac:dyDescent="0.2">
      <c r="AN726" s="143"/>
      <c r="AO726" s="143"/>
      <c r="AP726" s="143"/>
      <c r="AQ726" s="143"/>
      <c r="AR726" s="143"/>
      <c r="AS726" s="143"/>
      <c r="AT726" s="143"/>
      <c r="AU726" s="143"/>
      <c r="AW726" s="135"/>
      <c r="AX726" s="135"/>
      <c r="AY726" s="135"/>
      <c r="AZ726" s="135"/>
      <c r="BA726" s="135"/>
      <c r="BB726" s="135"/>
      <c r="BC726" s="135"/>
      <c r="BK726" s="135"/>
      <c r="BM726" s="176"/>
      <c r="BN726" s="139"/>
      <c r="BO726" s="136"/>
      <c r="BQ726" s="148"/>
      <c r="BR726" s="136"/>
      <c r="BS726" s="149"/>
      <c r="BT726" s="136"/>
      <c r="BW726" s="135"/>
    </row>
    <row r="727" spans="40:75" x14ac:dyDescent="0.2">
      <c r="AN727" s="143"/>
      <c r="AO727" s="143"/>
      <c r="AP727" s="143"/>
      <c r="AQ727" s="143"/>
      <c r="AR727" s="143"/>
      <c r="AS727" s="143"/>
      <c r="AT727" s="143"/>
      <c r="AU727" s="143"/>
      <c r="AW727" s="135"/>
      <c r="AX727" s="135"/>
      <c r="AY727" s="135"/>
      <c r="AZ727" s="135"/>
      <c r="BA727" s="135"/>
      <c r="BB727" s="135"/>
      <c r="BC727" s="135"/>
      <c r="BK727" s="135"/>
      <c r="BM727" s="176"/>
      <c r="BN727" s="139"/>
      <c r="BO727" s="136"/>
      <c r="BQ727" s="148"/>
      <c r="BR727" s="136"/>
      <c r="BS727" s="149"/>
      <c r="BT727" s="136"/>
      <c r="BW727" s="135"/>
    </row>
    <row r="728" spans="40:75" x14ac:dyDescent="0.2">
      <c r="AN728" s="143"/>
      <c r="AO728" s="143"/>
      <c r="AP728" s="143"/>
      <c r="AQ728" s="143"/>
      <c r="AR728" s="143"/>
      <c r="AS728" s="143"/>
      <c r="AT728" s="143"/>
      <c r="AU728" s="143"/>
      <c r="AW728" s="135"/>
      <c r="AX728" s="135"/>
      <c r="AY728" s="135"/>
      <c r="AZ728" s="135"/>
      <c r="BA728" s="135"/>
      <c r="BB728" s="135"/>
      <c r="BC728" s="135"/>
      <c r="BK728" s="135"/>
      <c r="BM728" s="176"/>
      <c r="BN728" s="139"/>
      <c r="BO728" s="136"/>
      <c r="BQ728" s="148"/>
      <c r="BR728" s="136"/>
      <c r="BS728" s="149"/>
      <c r="BT728" s="136"/>
      <c r="BW728" s="135"/>
    </row>
    <row r="729" spans="40:75" x14ac:dyDescent="0.2">
      <c r="AN729" s="143"/>
      <c r="AO729" s="143"/>
      <c r="AP729" s="143"/>
      <c r="AQ729" s="143"/>
      <c r="AR729" s="143"/>
      <c r="AS729" s="143"/>
      <c r="AT729" s="143"/>
      <c r="AU729" s="143"/>
      <c r="AW729" s="135"/>
      <c r="AX729" s="135"/>
      <c r="AY729" s="135"/>
      <c r="AZ729" s="135"/>
      <c r="BA729" s="135"/>
      <c r="BB729" s="135"/>
      <c r="BC729" s="135"/>
      <c r="BK729" s="135"/>
      <c r="BM729" s="176"/>
      <c r="BN729" s="139"/>
      <c r="BO729" s="136"/>
      <c r="BQ729" s="148"/>
      <c r="BR729" s="136"/>
      <c r="BS729" s="149"/>
      <c r="BT729" s="136"/>
      <c r="BW729" s="135"/>
    </row>
    <row r="730" spans="40:75" x14ac:dyDescent="0.2">
      <c r="AN730" s="143"/>
      <c r="AO730" s="143"/>
      <c r="AP730" s="143"/>
      <c r="AQ730" s="143"/>
      <c r="AR730" s="143"/>
      <c r="AS730" s="143"/>
      <c r="AT730" s="143"/>
      <c r="AU730" s="143"/>
      <c r="AW730" s="135"/>
      <c r="AX730" s="135"/>
      <c r="AY730" s="135"/>
      <c r="AZ730" s="135"/>
      <c r="BA730" s="135"/>
      <c r="BB730" s="135"/>
      <c r="BC730" s="135"/>
      <c r="BK730" s="135"/>
      <c r="BM730" s="176"/>
      <c r="BN730" s="139"/>
      <c r="BO730" s="136"/>
      <c r="BQ730" s="148"/>
      <c r="BR730" s="136"/>
      <c r="BS730" s="149"/>
      <c r="BT730" s="136"/>
      <c r="BW730" s="135"/>
    </row>
    <row r="731" spans="40:75" x14ac:dyDescent="0.2">
      <c r="AN731" s="143"/>
      <c r="AO731" s="143"/>
      <c r="AP731" s="143"/>
      <c r="AQ731" s="143"/>
      <c r="AR731" s="143"/>
      <c r="AS731" s="143"/>
      <c r="AT731" s="143"/>
      <c r="AU731" s="143"/>
      <c r="AW731" s="135"/>
      <c r="AX731" s="135"/>
      <c r="AY731" s="135"/>
      <c r="AZ731" s="135"/>
      <c r="BA731" s="135"/>
      <c r="BB731" s="135"/>
      <c r="BC731" s="135"/>
      <c r="BK731" s="135"/>
      <c r="BM731" s="176"/>
      <c r="BN731" s="139"/>
      <c r="BO731" s="136"/>
      <c r="BQ731" s="148"/>
      <c r="BR731" s="136"/>
      <c r="BS731" s="149"/>
      <c r="BT731" s="136"/>
      <c r="BW731" s="135"/>
    </row>
    <row r="732" spans="40:75" x14ac:dyDescent="0.2">
      <c r="AN732" s="143"/>
      <c r="AO732" s="143"/>
      <c r="AP732" s="143"/>
      <c r="AQ732" s="143"/>
      <c r="AR732" s="143"/>
      <c r="AS732" s="143"/>
      <c r="AT732" s="143"/>
      <c r="AU732" s="143"/>
      <c r="AW732" s="135"/>
      <c r="AX732" s="135"/>
      <c r="AY732" s="135"/>
      <c r="AZ732" s="135"/>
      <c r="BA732" s="135"/>
      <c r="BB732" s="135"/>
      <c r="BC732" s="135"/>
      <c r="BK732" s="135"/>
      <c r="BM732" s="176"/>
      <c r="BN732" s="139"/>
      <c r="BO732" s="136"/>
      <c r="BQ732" s="148"/>
      <c r="BR732" s="136"/>
      <c r="BS732" s="149"/>
      <c r="BT732" s="136"/>
      <c r="BW732" s="135"/>
    </row>
    <row r="733" spans="40:75" x14ac:dyDescent="0.2">
      <c r="AN733" s="143"/>
      <c r="AO733" s="143"/>
      <c r="AP733" s="143"/>
      <c r="AQ733" s="143"/>
      <c r="AR733" s="143"/>
      <c r="AS733" s="143"/>
      <c r="AT733" s="143"/>
      <c r="AU733" s="143"/>
      <c r="AW733" s="135"/>
      <c r="AX733" s="135"/>
      <c r="AY733" s="135"/>
      <c r="AZ733" s="135"/>
      <c r="BA733" s="135"/>
      <c r="BB733" s="135"/>
      <c r="BC733" s="135"/>
      <c r="BK733" s="135"/>
      <c r="BM733" s="176"/>
      <c r="BN733" s="139"/>
      <c r="BO733" s="136"/>
      <c r="BQ733" s="148"/>
      <c r="BR733" s="136"/>
      <c r="BS733" s="149"/>
      <c r="BT733" s="136"/>
      <c r="BW733" s="135"/>
    </row>
    <row r="734" spans="40:75" x14ac:dyDescent="0.2">
      <c r="AN734" s="143"/>
      <c r="AO734" s="143"/>
      <c r="AP734" s="143"/>
      <c r="AQ734" s="143"/>
      <c r="AR734" s="143"/>
      <c r="AS734" s="143"/>
      <c r="AT734" s="143"/>
      <c r="AU734" s="143"/>
      <c r="AW734" s="135"/>
      <c r="AX734" s="135"/>
      <c r="AY734" s="135"/>
      <c r="AZ734" s="135"/>
      <c r="BA734" s="135"/>
      <c r="BB734" s="135"/>
      <c r="BC734" s="135"/>
      <c r="BK734" s="135"/>
      <c r="BN734" s="139"/>
      <c r="BO734" s="136"/>
      <c r="BQ734" s="148"/>
      <c r="BR734" s="136"/>
      <c r="BS734" s="149"/>
      <c r="BT734" s="136"/>
      <c r="BW734" s="135"/>
    </row>
    <row r="735" spans="40:75" x14ac:dyDescent="0.2">
      <c r="AN735" s="143"/>
      <c r="AO735" s="143"/>
      <c r="AP735" s="143"/>
      <c r="AQ735" s="143"/>
      <c r="AR735" s="143"/>
      <c r="AS735" s="143"/>
      <c r="AT735" s="143"/>
      <c r="AU735" s="143"/>
      <c r="AW735" s="135"/>
      <c r="AX735" s="135"/>
      <c r="AY735" s="135"/>
      <c r="AZ735" s="135"/>
      <c r="BA735" s="135"/>
      <c r="BB735" s="135"/>
      <c r="BC735" s="135"/>
      <c r="BK735" s="135"/>
      <c r="BN735" s="139"/>
      <c r="BO735" s="136"/>
      <c r="BQ735" s="148"/>
      <c r="BR735" s="136"/>
      <c r="BS735" s="149"/>
      <c r="BT735" s="136"/>
      <c r="BW735" s="135"/>
    </row>
    <row r="736" spans="40:75" x14ac:dyDescent="0.2">
      <c r="AN736" s="143"/>
      <c r="AO736" s="143"/>
      <c r="AP736" s="143"/>
      <c r="AQ736" s="143"/>
      <c r="AR736" s="143"/>
      <c r="AS736" s="143"/>
      <c r="AT736" s="143"/>
      <c r="AU736" s="143"/>
      <c r="AW736" s="135"/>
      <c r="AX736" s="135"/>
      <c r="AY736" s="135"/>
      <c r="AZ736" s="135"/>
      <c r="BA736" s="135"/>
      <c r="BB736" s="135"/>
      <c r="BC736" s="135"/>
      <c r="BK736" s="135"/>
      <c r="BN736" s="139"/>
      <c r="BO736" s="136"/>
      <c r="BQ736" s="148"/>
      <c r="BR736" s="136"/>
      <c r="BS736" s="149"/>
      <c r="BT736" s="136"/>
      <c r="BW736" s="135"/>
    </row>
    <row r="737" spans="40:75" x14ac:dyDescent="0.2">
      <c r="AN737" s="143"/>
      <c r="AO737" s="143"/>
      <c r="AP737" s="143"/>
      <c r="AQ737" s="143"/>
      <c r="AR737" s="143"/>
      <c r="AS737" s="143"/>
      <c r="AT737" s="143"/>
      <c r="AU737" s="143"/>
      <c r="AW737" s="135"/>
      <c r="AX737" s="135"/>
      <c r="AY737" s="135"/>
      <c r="AZ737" s="135"/>
      <c r="BA737" s="135"/>
      <c r="BB737" s="135"/>
      <c r="BC737" s="135"/>
      <c r="BK737" s="135"/>
      <c r="BN737" s="139"/>
      <c r="BO737" s="136"/>
      <c r="BQ737" s="148"/>
      <c r="BR737" s="136"/>
      <c r="BS737" s="149"/>
      <c r="BT737" s="136"/>
      <c r="BW737" s="135"/>
    </row>
    <row r="738" spans="40:75" x14ac:dyDescent="0.2">
      <c r="AN738" s="143"/>
      <c r="AO738" s="143"/>
      <c r="AP738" s="143"/>
      <c r="AQ738" s="143"/>
      <c r="AR738" s="143"/>
      <c r="AS738" s="143"/>
      <c r="AT738" s="143"/>
      <c r="AU738" s="143"/>
      <c r="AW738" s="135"/>
      <c r="AX738" s="135"/>
      <c r="AY738" s="135"/>
      <c r="AZ738" s="135"/>
      <c r="BA738" s="135"/>
      <c r="BB738" s="135"/>
      <c r="BC738" s="135"/>
      <c r="BK738" s="135"/>
      <c r="BN738" s="139"/>
      <c r="BO738" s="136"/>
      <c r="BQ738" s="148"/>
      <c r="BR738" s="136"/>
      <c r="BS738" s="149"/>
      <c r="BT738" s="136"/>
      <c r="BW738" s="135"/>
    </row>
    <row r="739" spans="40:75" x14ac:dyDescent="0.2">
      <c r="AN739" s="143"/>
      <c r="AO739" s="143"/>
      <c r="AP739" s="143"/>
      <c r="AQ739" s="143"/>
      <c r="AR739" s="143"/>
      <c r="AS739" s="143"/>
      <c r="AT739" s="143"/>
      <c r="AU739" s="143"/>
      <c r="AW739" s="135"/>
      <c r="AX739" s="135"/>
      <c r="AY739" s="135"/>
      <c r="AZ739" s="135"/>
      <c r="BA739" s="135"/>
      <c r="BB739" s="135"/>
      <c r="BC739" s="135"/>
      <c r="BK739" s="135"/>
      <c r="BN739" s="139"/>
      <c r="BO739" s="136"/>
      <c r="BQ739" s="148"/>
      <c r="BR739" s="136"/>
      <c r="BS739" s="149"/>
      <c r="BT739" s="136"/>
      <c r="BW739" s="135"/>
    </row>
    <row r="740" spans="40:75" x14ac:dyDescent="0.2">
      <c r="AN740" s="143"/>
      <c r="AO740" s="143"/>
      <c r="AP740" s="143"/>
      <c r="AQ740" s="143"/>
      <c r="AR740" s="143"/>
      <c r="AS740" s="143"/>
      <c r="AT740" s="143"/>
      <c r="AU740" s="143"/>
      <c r="AW740" s="135"/>
      <c r="AX740" s="135"/>
      <c r="AY740" s="135"/>
      <c r="AZ740" s="135"/>
      <c r="BA740" s="135"/>
      <c r="BB740" s="135"/>
      <c r="BC740" s="135"/>
      <c r="BK740" s="135"/>
      <c r="BN740" s="139"/>
      <c r="BO740" s="136"/>
      <c r="BQ740" s="148"/>
      <c r="BR740" s="136"/>
      <c r="BS740" s="149"/>
      <c r="BT740" s="136"/>
      <c r="BW740" s="135"/>
    </row>
    <row r="741" spans="40:75" x14ac:dyDescent="0.2">
      <c r="AN741" s="143"/>
      <c r="AO741" s="143"/>
      <c r="AP741" s="143"/>
      <c r="AQ741" s="143"/>
      <c r="AR741" s="143"/>
      <c r="AS741" s="143"/>
      <c r="AT741" s="143"/>
      <c r="AU741" s="143"/>
      <c r="AW741" s="135"/>
      <c r="AX741" s="135"/>
      <c r="AY741" s="135"/>
      <c r="AZ741" s="135"/>
      <c r="BA741" s="135"/>
      <c r="BB741" s="135"/>
      <c r="BC741" s="135"/>
      <c r="BK741" s="135"/>
      <c r="BN741" s="139"/>
      <c r="BO741" s="136"/>
      <c r="BQ741" s="148"/>
      <c r="BR741" s="136"/>
      <c r="BS741" s="149"/>
      <c r="BT741" s="136"/>
      <c r="BW741" s="135"/>
    </row>
    <row r="742" spans="40:75" x14ac:dyDescent="0.2">
      <c r="AN742" s="174"/>
      <c r="AO742" s="174"/>
      <c r="AP742" s="174"/>
      <c r="AQ742" s="174"/>
      <c r="AR742" s="174"/>
      <c r="AS742" s="174"/>
      <c r="AT742" s="174"/>
      <c r="AU742" s="174"/>
      <c r="AW742" s="135"/>
      <c r="AX742" s="135"/>
      <c r="AY742" s="135"/>
      <c r="AZ742" s="135"/>
      <c r="BA742" s="135"/>
      <c r="BB742" s="135"/>
      <c r="BC742" s="135"/>
      <c r="BK742" s="135"/>
      <c r="BN742" s="139"/>
      <c r="BO742" s="136"/>
      <c r="BQ742" s="148"/>
      <c r="BR742" s="136"/>
      <c r="BS742" s="149"/>
      <c r="BT742" s="136"/>
      <c r="BW742" s="135"/>
    </row>
    <row r="743" spans="40:75" x14ac:dyDescent="0.2">
      <c r="AN743" s="143"/>
      <c r="AO743" s="143"/>
      <c r="AP743" s="143"/>
      <c r="AQ743" s="143"/>
      <c r="AR743" s="143"/>
      <c r="AS743" s="143"/>
      <c r="AT743" s="143"/>
      <c r="AU743" s="143"/>
      <c r="AW743" s="135"/>
      <c r="AX743" s="135"/>
      <c r="AY743" s="135"/>
      <c r="AZ743" s="135"/>
      <c r="BA743" s="135"/>
      <c r="BB743" s="135"/>
      <c r="BC743" s="135"/>
      <c r="BK743" s="135"/>
      <c r="BN743" s="139"/>
      <c r="BO743" s="136"/>
      <c r="BQ743" s="148"/>
      <c r="BR743" s="136"/>
      <c r="BS743" s="149"/>
      <c r="BT743" s="136"/>
      <c r="BW743" s="135"/>
    </row>
    <row r="744" spans="40:75" x14ac:dyDescent="0.2">
      <c r="AN744" s="143"/>
      <c r="AO744" s="143"/>
      <c r="AP744" s="143"/>
      <c r="AQ744" s="143"/>
      <c r="AR744" s="143"/>
      <c r="AS744" s="143"/>
      <c r="AT744" s="143"/>
      <c r="AU744" s="143"/>
      <c r="AW744" s="135"/>
      <c r="AX744" s="135"/>
      <c r="AY744" s="135"/>
      <c r="AZ744" s="135"/>
      <c r="BA744" s="135"/>
      <c r="BB744" s="135"/>
      <c r="BC744" s="135"/>
      <c r="BK744" s="135"/>
      <c r="BM744" s="176"/>
      <c r="BN744" s="139"/>
      <c r="BO744" s="136"/>
      <c r="BQ744" s="148"/>
      <c r="BR744" s="136"/>
      <c r="BS744" s="149"/>
      <c r="BT744" s="136"/>
      <c r="BW744" s="135"/>
    </row>
    <row r="745" spans="40:75" x14ac:dyDescent="0.2">
      <c r="AN745" s="143"/>
      <c r="AO745" s="143"/>
      <c r="AP745" s="143"/>
      <c r="AQ745" s="143"/>
      <c r="AR745" s="143"/>
      <c r="AS745" s="143"/>
      <c r="AT745" s="143"/>
      <c r="AU745" s="143"/>
      <c r="AW745" s="135"/>
      <c r="AX745" s="135"/>
      <c r="AY745" s="135"/>
      <c r="AZ745" s="135"/>
      <c r="BA745" s="135"/>
      <c r="BB745" s="135"/>
      <c r="BC745" s="135"/>
      <c r="BK745" s="135"/>
      <c r="BN745" s="139"/>
      <c r="BO745" s="136"/>
      <c r="BQ745" s="148"/>
      <c r="BR745" s="136"/>
      <c r="BS745" s="149"/>
      <c r="BT745" s="136"/>
      <c r="BW745" s="135"/>
    </row>
    <row r="746" spans="40:75" x14ac:dyDescent="0.2">
      <c r="AN746" s="143"/>
      <c r="AO746" s="143"/>
      <c r="AP746" s="143"/>
      <c r="AQ746" s="143"/>
      <c r="AR746" s="143"/>
      <c r="AS746" s="143"/>
      <c r="AT746" s="143"/>
      <c r="AU746" s="143"/>
      <c r="AW746" s="135"/>
      <c r="AX746" s="135"/>
      <c r="AY746" s="135"/>
      <c r="AZ746" s="135"/>
      <c r="BA746" s="135"/>
      <c r="BB746" s="135"/>
      <c r="BC746" s="135"/>
      <c r="BK746" s="135"/>
      <c r="BN746" s="139"/>
      <c r="BO746" s="136"/>
      <c r="BQ746" s="148"/>
      <c r="BR746" s="136"/>
      <c r="BS746" s="149"/>
      <c r="BT746" s="136"/>
      <c r="BW746" s="135"/>
    </row>
    <row r="747" spans="40:75" x14ac:dyDescent="0.2">
      <c r="AN747" s="143"/>
      <c r="AO747" s="143"/>
      <c r="AP747" s="143"/>
      <c r="AQ747" s="143"/>
      <c r="AR747" s="143"/>
      <c r="AS747" s="143"/>
      <c r="AT747" s="143"/>
      <c r="AU747" s="143"/>
      <c r="AW747" s="135"/>
      <c r="AX747" s="135"/>
      <c r="AY747" s="135"/>
      <c r="AZ747" s="135"/>
      <c r="BA747" s="135"/>
      <c r="BB747" s="135"/>
      <c r="BC747" s="135"/>
      <c r="BK747" s="135"/>
      <c r="BN747" s="139"/>
      <c r="BO747" s="136"/>
      <c r="BQ747" s="148"/>
      <c r="BR747" s="136"/>
      <c r="BS747" s="149"/>
      <c r="BT747" s="136"/>
      <c r="BW747" s="135"/>
    </row>
    <row r="748" spans="40:75" x14ac:dyDescent="0.2">
      <c r="AN748" s="143"/>
      <c r="AO748" s="143"/>
      <c r="AP748" s="143"/>
      <c r="AQ748" s="143"/>
      <c r="AR748" s="143"/>
      <c r="AS748" s="143"/>
      <c r="AT748" s="143"/>
      <c r="AU748" s="143"/>
      <c r="AW748" s="135"/>
      <c r="AX748" s="135"/>
      <c r="AY748" s="135"/>
      <c r="AZ748" s="135"/>
      <c r="BA748" s="135"/>
      <c r="BB748" s="135"/>
      <c r="BC748" s="135"/>
      <c r="BK748" s="135"/>
      <c r="BN748" s="139"/>
      <c r="BO748" s="136"/>
      <c r="BQ748" s="148"/>
      <c r="BR748" s="136"/>
      <c r="BS748" s="149"/>
      <c r="BT748" s="136"/>
      <c r="BW748" s="135"/>
    </row>
    <row r="749" spans="40:75" x14ac:dyDescent="0.2">
      <c r="AN749" s="143"/>
      <c r="AO749" s="143"/>
      <c r="AP749" s="143"/>
      <c r="AQ749" s="143"/>
      <c r="AR749" s="143"/>
      <c r="AS749" s="143"/>
      <c r="AT749" s="143"/>
      <c r="AU749" s="143"/>
      <c r="AW749" s="135"/>
      <c r="AX749" s="135"/>
      <c r="AY749" s="135"/>
      <c r="AZ749" s="135"/>
      <c r="BA749" s="135"/>
      <c r="BB749" s="135"/>
      <c r="BC749" s="135"/>
      <c r="BK749" s="135"/>
      <c r="BN749" s="139"/>
      <c r="BO749" s="136"/>
      <c r="BQ749" s="148"/>
      <c r="BR749" s="136"/>
      <c r="BS749" s="149"/>
      <c r="BT749" s="136"/>
      <c r="BW749" s="135"/>
    </row>
    <row r="750" spans="40:75" x14ac:dyDescent="0.2">
      <c r="AN750" s="143"/>
      <c r="AO750" s="143"/>
      <c r="AP750" s="143"/>
      <c r="AQ750" s="143"/>
      <c r="AR750" s="143"/>
      <c r="AS750" s="143"/>
      <c r="AT750" s="143"/>
      <c r="AU750" s="143"/>
      <c r="AV750" s="138"/>
      <c r="AW750" s="135"/>
      <c r="AX750" s="135"/>
      <c r="AY750" s="135"/>
      <c r="AZ750" s="135"/>
      <c r="BA750" s="135"/>
      <c r="BB750" s="135"/>
      <c r="BC750" s="135"/>
      <c r="BK750" s="135"/>
      <c r="BN750" s="139"/>
      <c r="BO750" s="136"/>
      <c r="BQ750" s="148"/>
      <c r="BR750" s="136"/>
      <c r="BS750" s="149"/>
      <c r="BT750" s="136"/>
      <c r="BW750" s="135"/>
    </row>
    <row r="751" spans="40:75" x14ac:dyDescent="0.2">
      <c r="AN751" s="143"/>
      <c r="AO751" s="143"/>
      <c r="AP751" s="143"/>
      <c r="AQ751" s="143"/>
      <c r="AR751" s="143"/>
      <c r="AS751" s="143"/>
      <c r="AT751" s="143"/>
      <c r="AU751" s="143"/>
      <c r="AW751" s="135"/>
      <c r="AX751" s="135"/>
      <c r="AY751" s="135"/>
      <c r="AZ751" s="135"/>
      <c r="BA751" s="135"/>
      <c r="BB751" s="135"/>
      <c r="BC751" s="135"/>
      <c r="BK751" s="135"/>
      <c r="BN751" s="139"/>
      <c r="BO751" s="136"/>
      <c r="BQ751" s="148"/>
      <c r="BR751" s="136"/>
      <c r="BS751" s="149"/>
      <c r="BT751" s="136"/>
      <c r="BW751" s="135"/>
    </row>
    <row r="752" spans="40:75" x14ac:dyDescent="0.2">
      <c r="AN752" s="143"/>
      <c r="AO752" s="143"/>
      <c r="AP752" s="143"/>
      <c r="AQ752" s="143"/>
      <c r="AR752" s="143"/>
      <c r="AS752" s="143"/>
      <c r="AT752" s="143"/>
      <c r="AU752" s="143"/>
      <c r="AW752" s="135"/>
      <c r="AX752" s="135"/>
      <c r="AY752" s="135"/>
      <c r="AZ752" s="135"/>
      <c r="BA752" s="135"/>
      <c r="BB752" s="135"/>
      <c r="BC752" s="135"/>
      <c r="BK752" s="135"/>
      <c r="BN752" s="139"/>
      <c r="BO752" s="136"/>
      <c r="BQ752" s="148"/>
      <c r="BR752" s="136"/>
      <c r="BS752" s="149"/>
      <c r="BT752" s="136"/>
      <c r="BW752" s="135"/>
    </row>
    <row r="753" spans="40:75" x14ac:dyDescent="0.2">
      <c r="AN753" s="143"/>
      <c r="AO753" s="143"/>
      <c r="AP753" s="143"/>
      <c r="AQ753" s="143"/>
      <c r="AR753" s="143"/>
      <c r="AS753" s="143"/>
      <c r="AT753" s="143"/>
      <c r="AU753" s="143"/>
      <c r="AW753" s="135"/>
      <c r="AX753" s="135"/>
      <c r="AY753" s="135"/>
      <c r="AZ753" s="135"/>
      <c r="BA753" s="135"/>
      <c r="BB753" s="135"/>
      <c r="BC753" s="135"/>
      <c r="BK753" s="135"/>
      <c r="BN753" s="139"/>
      <c r="BO753" s="136"/>
      <c r="BQ753" s="148"/>
      <c r="BR753" s="136"/>
      <c r="BS753" s="149"/>
      <c r="BT753" s="136"/>
      <c r="BW753" s="135"/>
    </row>
    <row r="754" spans="40:75" x14ac:dyDescent="0.2">
      <c r="AN754" s="143"/>
      <c r="AO754" s="143"/>
      <c r="AP754" s="143"/>
      <c r="AQ754" s="143"/>
      <c r="AR754" s="143"/>
      <c r="AS754" s="143"/>
      <c r="AT754" s="143"/>
      <c r="AU754" s="143"/>
      <c r="AW754" s="135"/>
      <c r="AX754" s="135"/>
      <c r="AY754" s="135"/>
      <c r="AZ754" s="135"/>
      <c r="BA754" s="135"/>
      <c r="BB754" s="135"/>
      <c r="BC754" s="135"/>
      <c r="BK754" s="135"/>
      <c r="BN754" s="139"/>
      <c r="BO754" s="136"/>
      <c r="BQ754" s="148"/>
      <c r="BR754" s="136"/>
      <c r="BS754" s="149"/>
      <c r="BT754" s="136"/>
      <c r="BW754" s="135"/>
    </row>
    <row r="755" spans="40:75" x14ac:dyDescent="0.2">
      <c r="AN755" s="143"/>
      <c r="AO755" s="143"/>
      <c r="AP755" s="143"/>
      <c r="AQ755" s="143"/>
      <c r="AR755" s="143"/>
      <c r="AS755" s="143"/>
      <c r="AT755" s="143"/>
      <c r="AU755" s="143"/>
      <c r="AW755" s="135"/>
      <c r="AX755" s="135"/>
      <c r="AY755" s="135"/>
      <c r="AZ755" s="135"/>
      <c r="BA755" s="135"/>
      <c r="BB755" s="135"/>
      <c r="BC755" s="135"/>
      <c r="BK755" s="135"/>
      <c r="BN755" s="139"/>
      <c r="BO755" s="136"/>
      <c r="BQ755" s="148"/>
      <c r="BR755" s="136"/>
      <c r="BS755" s="149"/>
      <c r="BT755" s="136"/>
      <c r="BW755" s="135"/>
    </row>
    <row r="756" spans="40:75" x14ac:dyDescent="0.2">
      <c r="AN756" s="143"/>
      <c r="AO756" s="143"/>
      <c r="AP756" s="143"/>
      <c r="AQ756" s="143"/>
      <c r="AR756" s="143"/>
      <c r="AS756" s="143"/>
      <c r="AT756" s="143"/>
      <c r="AU756" s="143"/>
      <c r="AW756" s="135"/>
      <c r="AX756" s="135"/>
      <c r="AY756" s="135"/>
      <c r="AZ756" s="135"/>
      <c r="BA756" s="135"/>
      <c r="BB756" s="135"/>
      <c r="BC756" s="135"/>
      <c r="BK756" s="135"/>
      <c r="BN756" s="139"/>
      <c r="BO756" s="136"/>
      <c r="BQ756" s="148"/>
      <c r="BR756" s="136"/>
      <c r="BS756" s="149"/>
      <c r="BT756" s="136"/>
      <c r="BW756" s="135"/>
    </row>
    <row r="757" spans="40:75" x14ac:dyDescent="0.2">
      <c r="AN757" s="143"/>
      <c r="AO757" s="143"/>
      <c r="AP757" s="143"/>
      <c r="AQ757" s="143"/>
      <c r="AR757" s="143"/>
      <c r="AS757" s="143"/>
      <c r="AT757" s="143"/>
      <c r="AU757" s="143"/>
      <c r="AW757" s="135"/>
      <c r="AX757" s="135"/>
      <c r="AY757" s="135"/>
      <c r="AZ757" s="135"/>
      <c r="BA757" s="135"/>
      <c r="BB757" s="135"/>
      <c r="BC757" s="135"/>
      <c r="BK757" s="135"/>
      <c r="BN757" s="139"/>
      <c r="BO757" s="136"/>
      <c r="BQ757" s="148"/>
      <c r="BR757" s="136"/>
      <c r="BS757" s="149"/>
      <c r="BT757" s="136"/>
      <c r="BW757" s="135"/>
    </row>
    <row r="758" spans="40:75" x14ac:dyDescent="0.2">
      <c r="AN758" s="143"/>
      <c r="AO758" s="143"/>
      <c r="AP758" s="143"/>
      <c r="AQ758" s="143"/>
      <c r="AR758" s="143"/>
      <c r="AS758" s="143"/>
      <c r="AT758" s="143"/>
      <c r="AU758" s="143"/>
      <c r="AW758" s="135"/>
      <c r="AX758" s="135"/>
      <c r="AY758" s="135"/>
      <c r="AZ758" s="135"/>
      <c r="BA758" s="135"/>
      <c r="BB758" s="135"/>
      <c r="BC758" s="135"/>
      <c r="BK758" s="135"/>
      <c r="BN758" s="139"/>
      <c r="BO758" s="136"/>
      <c r="BQ758" s="148"/>
      <c r="BR758" s="136"/>
      <c r="BS758" s="149"/>
      <c r="BT758" s="136"/>
      <c r="BW758" s="135"/>
    </row>
    <row r="759" spans="40:75" x14ac:dyDescent="0.2">
      <c r="AN759" s="143"/>
      <c r="AO759" s="143"/>
      <c r="AP759" s="143"/>
      <c r="AQ759" s="143"/>
      <c r="AR759" s="143"/>
      <c r="AS759" s="143"/>
      <c r="AT759" s="143"/>
      <c r="AU759" s="143"/>
      <c r="AW759" s="135"/>
      <c r="AX759" s="135"/>
      <c r="AY759" s="135"/>
      <c r="AZ759" s="135"/>
      <c r="BA759" s="135"/>
      <c r="BB759" s="135"/>
      <c r="BC759" s="135"/>
      <c r="BK759" s="135"/>
      <c r="BN759" s="139"/>
      <c r="BO759" s="136"/>
      <c r="BQ759" s="148"/>
      <c r="BR759" s="136"/>
      <c r="BS759" s="149"/>
      <c r="BT759" s="136"/>
      <c r="BW759" s="135"/>
    </row>
    <row r="760" spans="40:75" x14ac:dyDescent="0.2">
      <c r="AN760" s="143"/>
      <c r="AO760" s="143"/>
      <c r="AP760" s="143"/>
      <c r="AQ760" s="143"/>
      <c r="AR760" s="143"/>
      <c r="AS760" s="143"/>
      <c r="AT760" s="143"/>
      <c r="AU760" s="143"/>
      <c r="AW760" s="135"/>
      <c r="AX760" s="135"/>
      <c r="AY760" s="135"/>
      <c r="AZ760" s="135"/>
      <c r="BA760" s="135"/>
      <c r="BB760" s="135"/>
      <c r="BC760" s="135"/>
      <c r="BK760" s="135"/>
      <c r="BN760" s="139"/>
      <c r="BO760" s="136"/>
      <c r="BQ760" s="148"/>
      <c r="BR760" s="136"/>
      <c r="BS760" s="149"/>
      <c r="BT760" s="136"/>
      <c r="BW760" s="135"/>
    </row>
    <row r="761" spans="40:75" x14ac:dyDescent="0.2">
      <c r="AN761" s="174"/>
      <c r="AO761" s="174"/>
      <c r="AP761" s="174"/>
      <c r="AQ761" s="174"/>
      <c r="AR761" s="174"/>
      <c r="AS761" s="174"/>
      <c r="AT761" s="174"/>
      <c r="AU761" s="174"/>
      <c r="AW761" s="135"/>
      <c r="AX761" s="135"/>
      <c r="AY761" s="135"/>
      <c r="AZ761" s="135"/>
      <c r="BA761" s="135"/>
      <c r="BB761" s="135"/>
      <c r="BC761" s="135"/>
      <c r="BK761" s="135"/>
      <c r="BN761" s="139"/>
      <c r="BO761" s="136"/>
      <c r="BQ761" s="148"/>
      <c r="BR761" s="136"/>
      <c r="BS761" s="149"/>
      <c r="BT761" s="136"/>
      <c r="BW761" s="135"/>
    </row>
    <row r="762" spans="40:75" x14ac:dyDescent="0.2">
      <c r="AN762" s="143"/>
      <c r="AO762" s="143"/>
      <c r="AP762" s="143"/>
      <c r="AQ762" s="143"/>
      <c r="AR762" s="143"/>
      <c r="AS762" s="143"/>
      <c r="AT762" s="143"/>
      <c r="AU762" s="143"/>
      <c r="AW762" s="135"/>
      <c r="AX762" s="135"/>
      <c r="AY762" s="135"/>
      <c r="AZ762" s="135"/>
      <c r="BA762" s="135"/>
      <c r="BB762" s="135"/>
      <c r="BC762" s="135"/>
      <c r="BK762" s="135"/>
      <c r="BN762" s="139"/>
      <c r="BO762" s="136"/>
      <c r="BQ762" s="148"/>
      <c r="BR762" s="136"/>
      <c r="BS762" s="149"/>
      <c r="BT762" s="136"/>
      <c r="BW762" s="135"/>
    </row>
    <row r="763" spans="40:75" x14ac:dyDescent="0.2">
      <c r="AN763" s="143"/>
      <c r="AO763" s="143"/>
      <c r="AP763" s="143"/>
      <c r="AQ763" s="143"/>
      <c r="AR763" s="143"/>
      <c r="AS763" s="143"/>
      <c r="AT763" s="143"/>
      <c r="AU763" s="143"/>
      <c r="AW763" s="135"/>
      <c r="AX763" s="135"/>
      <c r="AY763" s="135"/>
      <c r="AZ763" s="135"/>
      <c r="BA763" s="135"/>
      <c r="BB763" s="135"/>
      <c r="BC763" s="135"/>
      <c r="BK763" s="135"/>
      <c r="BN763" s="139"/>
      <c r="BO763" s="136"/>
      <c r="BQ763" s="148"/>
      <c r="BR763" s="136"/>
      <c r="BS763" s="149"/>
      <c r="BT763" s="136"/>
      <c r="BW763" s="135"/>
    </row>
    <row r="764" spans="40:75" x14ac:dyDescent="0.2">
      <c r="AN764" s="143"/>
      <c r="AO764" s="143"/>
      <c r="AP764" s="143"/>
      <c r="AQ764" s="143"/>
      <c r="AR764" s="143"/>
      <c r="AS764" s="143"/>
      <c r="AT764" s="143"/>
      <c r="AU764" s="143"/>
      <c r="AW764" s="135"/>
      <c r="AX764" s="135"/>
      <c r="AY764" s="135"/>
      <c r="AZ764" s="135"/>
      <c r="BA764" s="135"/>
      <c r="BB764" s="135"/>
      <c r="BC764" s="135"/>
      <c r="BK764" s="135"/>
      <c r="BN764" s="139"/>
      <c r="BO764" s="136"/>
      <c r="BQ764" s="148"/>
      <c r="BR764" s="136"/>
      <c r="BS764" s="149"/>
      <c r="BT764" s="136"/>
      <c r="BW764" s="135"/>
    </row>
    <row r="765" spans="40:75" x14ac:dyDescent="0.2">
      <c r="AN765" s="143"/>
      <c r="AO765" s="143"/>
      <c r="AP765" s="143"/>
      <c r="AQ765" s="143"/>
      <c r="AR765" s="143"/>
      <c r="AS765" s="143"/>
      <c r="AT765" s="143"/>
      <c r="AU765" s="143"/>
      <c r="AW765" s="135"/>
      <c r="AX765" s="135"/>
      <c r="AY765" s="135"/>
      <c r="AZ765" s="135"/>
      <c r="BA765" s="135"/>
      <c r="BB765" s="135"/>
      <c r="BC765" s="135"/>
      <c r="BK765" s="135"/>
      <c r="BN765" s="139"/>
      <c r="BO765" s="136"/>
      <c r="BQ765" s="148"/>
      <c r="BR765" s="136"/>
      <c r="BS765" s="149"/>
      <c r="BT765" s="136"/>
      <c r="BW765" s="135"/>
    </row>
    <row r="766" spans="40:75" x14ac:dyDescent="0.2">
      <c r="AN766" s="143"/>
      <c r="AO766" s="143"/>
      <c r="AP766" s="143"/>
      <c r="AQ766" s="143"/>
      <c r="AR766" s="143"/>
      <c r="AS766" s="143"/>
      <c r="AT766" s="143"/>
      <c r="AU766" s="143"/>
      <c r="AW766" s="135"/>
      <c r="AX766" s="135"/>
      <c r="AY766" s="135"/>
      <c r="AZ766" s="135"/>
      <c r="BA766" s="135"/>
      <c r="BB766" s="135"/>
      <c r="BC766" s="135"/>
      <c r="BK766" s="135"/>
      <c r="BN766" s="139"/>
      <c r="BO766" s="136"/>
      <c r="BQ766" s="148"/>
      <c r="BR766" s="136"/>
      <c r="BS766" s="149"/>
      <c r="BT766" s="136"/>
      <c r="BW766" s="135"/>
    </row>
    <row r="767" spans="40:75" x14ac:dyDescent="0.2">
      <c r="AN767" s="143"/>
      <c r="AO767" s="143"/>
      <c r="AP767" s="143"/>
      <c r="AQ767" s="143"/>
      <c r="AR767" s="143"/>
      <c r="AS767" s="143"/>
      <c r="AT767" s="143"/>
      <c r="AU767" s="143"/>
      <c r="AW767" s="135"/>
      <c r="AX767" s="135"/>
      <c r="AY767" s="135"/>
      <c r="AZ767" s="135"/>
      <c r="BA767" s="135"/>
      <c r="BB767" s="135"/>
      <c r="BC767" s="135"/>
      <c r="BK767" s="135"/>
      <c r="BN767" s="139"/>
      <c r="BO767" s="136"/>
      <c r="BQ767" s="148"/>
      <c r="BR767" s="136"/>
      <c r="BS767" s="149"/>
      <c r="BT767" s="136"/>
      <c r="BW767" s="135"/>
    </row>
    <row r="768" spans="40:75" x14ac:dyDescent="0.2">
      <c r="AN768" s="143"/>
      <c r="AO768" s="143"/>
      <c r="AP768" s="143"/>
      <c r="AQ768" s="143"/>
      <c r="AR768" s="143"/>
      <c r="AS768" s="143"/>
      <c r="AT768" s="143"/>
      <c r="AU768" s="143"/>
      <c r="AW768" s="135"/>
      <c r="AX768" s="135"/>
      <c r="AY768" s="135"/>
      <c r="AZ768" s="135"/>
      <c r="BA768" s="135"/>
      <c r="BB768" s="135"/>
      <c r="BC768" s="135"/>
      <c r="BK768" s="135"/>
      <c r="BN768" s="139"/>
      <c r="BO768" s="136"/>
      <c r="BQ768" s="148"/>
      <c r="BR768" s="136"/>
      <c r="BS768" s="149"/>
      <c r="BT768" s="136"/>
      <c r="BW768" s="135"/>
    </row>
    <row r="769" spans="40:75" x14ac:dyDescent="0.2">
      <c r="AN769" s="143"/>
      <c r="AO769" s="143"/>
      <c r="AP769" s="143"/>
      <c r="AQ769" s="143"/>
      <c r="AR769" s="143"/>
      <c r="AS769" s="143"/>
      <c r="AT769" s="143"/>
      <c r="AU769" s="143"/>
      <c r="AW769" s="135"/>
      <c r="AX769" s="135"/>
      <c r="AY769" s="135"/>
      <c r="AZ769" s="135"/>
      <c r="BA769" s="135"/>
      <c r="BB769" s="135"/>
      <c r="BC769" s="135"/>
      <c r="BK769" s="135"/>
      <c r="BN769" s="139"/>
      <c r="BO769" s="136"/>
      <c r="BQ769" s="148"/>
      <c r="BR769" s="136"/>
      <c r="BS769" s="149"/>
      <c r="BT769" s="136"/>
      <c r="BW769" s="135"/>
    </row>
    <row r="770" spans="40:75" x14ac:dyDescent="0.2">
      <c r="AN770" s="143"/>
      <c r="AO770" s="143"/>
      <c r="AP770" s="143"/>
      <c r="AQ770" s="143"/>
      <c r="AR770" s="143"/>
      <c r="AS770" s="143"/>
      <c r="AT770" s="143"/>
      <c r="AU770" s="143"/>
      <c r="AW770" s="135"/>
      <c r="AX770" s="135"/>
      <c r="AY770" s="135"/>
      <c r="AZ770" s="135"/>
      <c r="BA770" s="135"/>
      <c r="BB770" s="135"/>
      <c r="BC770" s="135"/>
      <c r="BK770" s="135"/>
      <c r="BN770" s="139"/>
      <c r="BO770" s="136"/>
      <c r="BQ770" s="148"/>
      <c r="BR770" s="136"/>
      <c r="BS770" s="149"/>
      <c r="BT770" s="136"/>
      <c r="BW770" s="135"/>
    </row>
    <row r="771" spans="40:75" x14ac:dyDescent="0.2">
      <c r="AN771" s="143"/>
      <c r="AO771" s="143"/>
      <c r="AP771" s="143"/>
      <c r="AQ771" s="143"/>
      <c r="AR771" s="143"/>
      <c r="AS771" s="143"/>
      <c r="AT771" s="143"/>
      <c r="AU771" s="143"/>
      <c r="AW771" s="135"/>
      <c r="AX771" s="135"/>
      <c r="AY771" s="135"/>
      <c r="AZ771" s="135"/>
      <c r="BA771" s="135"/>
      <c r="BB771" s="135"/>
      <c r="BC771" s="135"/>
      <c r="BK771" s="135"/>
      <c r="BN771" s="139"/>
      <c r="BO771" s="136"/>
      <c r="BQ771" s="148"/>
      <c r="BR771" s="136"/>
      <c r="BS771" s="149"/>
      <c r="BT771" s="136"/>
      <c r="BW771" s="135"/>
    </row>
    <row r="772" spans="40:75" x14ac:dyDescent="0.2">
      <c r="AN772" s="143"/>
      <c r="AO772" s="143"/>
      <c r="AP772" s="143"/>
      <c r="AQ772" s="143"/>
      <c r="AR772" s="143"/>
      <c r="AS772" s="143"/>
      <c r="AT772" s="143"/>
      <c r="AU772" s="143"/>
      <c r="AW772" s="135"/>
      <c r="AX772" s="135"/>
      <c r="AY772" s="135"/>
      <c r="AZ772" s="135"/>
      <c r="BA772" s="135"/>
      <c r="BB772" s="135"/>
      <c r="BC772" s="135"/>
      <c r="BK772" s="135"/>
      <c r="BN772" s="139"/>
      <c r="BO772" s="136"/>
      <c r="BQ772" s="148"/>
      <c r="BR772" s="136"/>
      <c r="BS772" s="149"/>
      <c r="BT772" s="136"/>
      <c r="BW772" s="135"/>
    </row>
    <row r="773" spans="40:75" x14ac:dyDescent="0.2">
      <c r="AN773" s="143"/>
      <c r="AO773" s="143"/>
      <c r="AP773" s="143"/>
      <c r="AQ773" s="143"/>
      <c r="AR773" s="143"/>
      <c r="AS773" s="143"/>
      <c r="AT773" s="143"/>
      <c r="AU773" s="143"/>
      <c r="AW773" s="135"/>
      <c r="AX773" s="135"/>
      <c r="AY773" s="135"/>
      <c r="AZ773" s="135"/>
      <c r="BA773" s="135"/>
      <c r="BB773" s="135"/>
      <c r="BC773" s="135"/>
      <c r="BK773" s="135"/>
      <c r="BN773" s="139"/>
      <c r="BO773" s="136"/>
      <c r="BQ773" s="148"/>
      <c r="BR773" s="136"/>
      <c r="BS773" s="149"/>
      <c r="BT773" s="136"/>
      <c r="BW773" s="135"/>
    </row>
    <row r="774" spans="40:75" x14ac:dyDescent="0.2">
      <c r="AN774" s="143"/>
      <c r="AO774" s="143"/>
      <c r="AP774" s="143"/>
      <c r="AQ774" s="143"/>
      <c r="AR774" s="143"/>
      <c r="AS774" s="143"/>
      <c r="AT774" s="143"/>
      <c r="AU774" s="143"/>
      <c r="AW774" s="135"/>
      <c r="AX774" s="135"/>
      <c r="AY774" s="135"/>
      <c r="AZ774" s="135"/>
      <c r="BA774" s="135"/>
      <c r="BB774" s="135"/>
      <c r="BC774" s="135"/>
      <c r="BK774" s="135"/>
      <c r="BN774" s="139"/>
      <c r="BO774" s="136"/>
      <c r="BQ774" s="148"/>
      <c r="BR774" s="136"/>
      <c r="BS774" s="149"/>
      <c r="BT774" s="136"/>
      <c r="BW774" s="135"/>
    </row>
    <row r="775" spans="40:75" x14ac:dyDescent="0.2">
      <c r="AN775" s="143"/>
      <c r="AO775" s="143"/>
      <c r="AP775" s="143"/>
      <c r="AQ775" s="143"/>
      <c r="AR775" s="143"/>
      <c r="AS775" s="143"/>
      <c r="AT775" s="143"/>
      <c r="AU775" s="143"/>
      <c r="AW775" s="135"/>
      <c r="AX775" s="135"/>
      <c r="AY775" s="135"/>
      <c r="AZ775" s="135"/>
      <c r="BA775" s="135"/>
      <c r="BB775" s="135"/>
      <c r="BC775" s="135"/>
      <c r="BK775" s="135"/>
      <c r="BN775" s="139"/>
      <c r="BO775" s="136"/>
      <c r="BQ775" s="148"/>
      <c r="BR775" s="136"/>
      <c r="BS775" s="149"/>
      <c r="BT775" s="136"/>
      <c r="BW775" s="135"/>
    </row>
    <row r="776" spans="40:75" x14ac:dyDescent="0.2">
      <c r="AN776" s="143"/>
      <c r="AO776" s="143"/>
      <c r="AP776" s="143"/>
      <c r="AQ776" s="143"/>
      <c r="AR776" s="143"/>
      <c r="AS776" s="143"/>
      <c r="AT776" s="143"/>
      <c r="AU776" s="143"/>
      <c r="AW776" s="135"/>
      <c r="AX776" s="135"/>
      <c r="AY776" s="135"/>
      <c r="AZ776" s="135"/>
      <c r="BA776" s="135"/>
      <c r="BB776" s="135"/>
      <c r="BC776" s="135"/>
      <c r="BK776" s="135"/>
      <c r="BN776" s="139"/>
      <c r="BO776" s="136"/>
      <c r="BQ776" s="148"/>
      <c r="BR776" s="136"/>
      <c r="BS776" s="149"/>
      <c r="BT776" s="136"/>
      <c r="BW776" s="135"/>
    </row>
    <row r="777" spans="40:75" x14ac:dyDescent="0.2">
      <c r="AN777" s="143"/>
      <c r="AO777" s="143"/>
      <c r="AP777" s="143"/>
      <c r="AQ777" s="143"/>
      <c r="AR777" s="143"/>
      <c r="AS777" s="143"/>
      <c r="AT777" s="143"/>
      <c r="AU777" s="143"/>
      <c r="AW777" s="135"/>
      <c r="AX777" s="135"/>
      <c r="AY777" s="135"/>
      <c r="AZ777" s="135"/>
      <c r="BA777" s="135"/>
      <c r="BB777" s="135"/>
      <c r="BC777" s="135"/>
      <c r="BK777" s="135"/>
      <c r="BN777" s="139"/>
      <c r="BO777" s="136"/>
      <c r="BQ777" s="148"/>
      <c r="BR777" s="136"/>
      <c r="BS777" s="149"/>
      <c r="BT777" s="136"/>
      <c r="BW777" s="135"/>
    </row>
    <row r="778" spans="40:75" x14ac:dyDescent="0.2">
      <c r="AN778" s="143"/>
      <c r="AO778" s="143"/>
      <c r="AP778" s="143"/>
      <c r="AQ778" s="143"/>
      <c r="AR778" s="143"/>
      <c r="AS778" s="143"/>
      <c r="AT778" s="143"/>
      <c r="AU778" s="143"/>
      <c r="AW778" s="135"/>
      <c r="AX778" s="135"/>
      <c r="AY778" s="135"/>
      <c r="AZ778" s="135"/>
      <c r="BA778" s="135"/>
      <c r="BB778" s="135"/>
      <c r="BC778" s="135"/>
      <c r="BK778" s="135"/>
      <c r="BN778" s="139"/>
      <c r="BO778" s="136"/>
      <c r="BQ778" s="148"/>
      <c r="BR778" s="136"/>
      <c r="BS778" s="149"/>
      <c r="BT778" s="136"/>
      <c r="BW778" s="135"/>
    </row>
    <row r="779" spans="40:75" x14ac:dyDescent="0.2">
      <c r="AN779" s="143"/>
      <c r="AO779" s="143"/>
      <c r="AP779" s="143"/>
      <c r="AQ779" s="143"/>
      <c r="AR779" s="143"/>
      <c r="AS779" s="143"/>
      <c r="AT779" s="143"/>
      <c r="AU779" s="143"/>
      <c r="AW779" s="135"/>
      <c r="AX779" s="135"/>
      <c r="AY779" s="135"/>
      <c r="AZ779" s="135"/>
      <c r="BA779" s="135"/>
      <c r="BB779" s="135"/>
      <c r="BC779" s="135"/>
      <c r="BK779" s="135"/>
      <c r="BN779" s="139"/>
      <c r="BO779" s="136"/>
      <c r="BQ779" s="148"/>
      <c r="BR779" s="136"/>
      <c r="BS779" s="149"/>
      <c r="BT779" s="136"/>
      <c r="BW779" s="135"/>
    </row>
    <row r="780" spans="40:75" x14ac:dyDescent="0.2">
      <c r="AN780" s="143"/>
      <c r="AO780" s="143"/>
      <c r="AP780" s="143"/>
      <c r="AQ780" s="143"/>
      <c r="AR780" s="143"/>
      <c r="AS780" s="143"/>
      <c r="AT780" s="143"/>
      <c r="AU780" s="143"/>
      <c r="AW780" s="135"/>
      <c r="AX780" s="135"/>
      <c r="AY780" s="135"/>
      <c r="AZ780" s="135"/>
      <c r="BA780" s="135"/>
      <c r="BB780" s="135"/>
      <c r="BC780" s="135"/>
      <c r="BK780" s="135"/>
      <c r="BN780" s="139"/>
      <c r="BO780" s="136"/>
      <c r="BQ780" s="148"/>
      <c r="BR780" s="136"/>
      <c r="BS780" s="149"/>
      <c r="BT780" s="136"/>
      <c r="BW780" s="135"/>
    </row>
    <row r="781" spans="40:75" x14ac:dyDescent="0.2">
      <c r="AN781" s="143"/>
      <c r="AO781" s="143"/>
      <c r="AP781" s="143"/>
      <c r="AQ781" s="143"/>
      <c r="AR781" s="143"/>
      <c r="AS781" s="143"/>
      <c r="AT781" s="143"/>
      <c r="AU781" s="143"/>
      <c r="AW781" s="135"/>
      <c r="AX781" s="135"/>
      <c r="AY781" s="135"/>
      <c r="AZ781" s="135"/>
      <c r="BA781" s="135"/>
      <c r="BB781" s="135"/>
      <c r="BC781" s="135"/>
      <c r="BK781" s="135"/>
      <c r="BN781" s="139"/>
      <c r="BO781" s="136"/>
      <c r="BQ781" s="148"/>
      <c r="BR781" s="136"/>
      <c r="BS781" s="149"/>
      <c r="BT781" s="136"/>
      <c r="BW781" s="135"/>
    </row>
    <row r="782" spans="40:75" x14ac:dyDescent="0.2">
      <c r="AN782" s="143"/>
      <c r="AO782" s="143"/>
      <c r="AP782" s="143"/>
      <c r="AQ782" s="143"/>
      <c r="AR782" s="143"/>
      <c r="AS782" s="143"/>
      <c r="AT782" s="143"/>
      <c r="AU782" s="143"/>
      <c r="AW782" s="135"/>
      <c r="AX782" s="135"/>
      <c r="AY782" s="135"/>
      <c r="AZ782" s="135"/>
      <c r="BA782" s="135"/>
      <c r="BB782" s="135"/>
      <c r="BC782" s="135"/>
      <c r="BK782" s="135"/>
      <c r="BN782" s="139"/>
      <c r="BO782" s="136"/>
      <c r="BQ782" s="148"/>
      <c r="BR782" s="136"/>
      <c r="BS782" s="149"/>
      <c r="BT782" s="136"/>
      <c r="BW782" s="135"/>
    </row>
    <row r="783" spans="40:75" x14ac:dyDescent="0.2">
      <c r="AN783" s="143"/>
      <c r="AO783" s="143"/>
      <c r="AP783" s="143"/>
      <c r="AQ783" s="143"/>
      <c r="AR783" s="143"/>
      <c r="AS783" s="143"/>
      <c r="AT783" s="143"/>
      <c r="AU783" s="143"/>
      <c r="AW783" s="135"/>
      <c r="AX783" s="135"/>
      <c r="AY783" s="135"/>
      <c r="AZ783" s="135"/>
      <c r="BA783" s="135"/>
      <c r="BB783" s="135"/>
      <c r="BC783" s="135"/>
      <c r="BK783" s="135"/>
      <c r="BN783" s="139"/>
      <c r="BO783" s="136"/>
      <c r="BQ783" s="148"/>
      <c r="BR783" s="136"/>
      <c r="BS783" s="149"/>
      <c r="BT783" s="136"/>
      <c r="BW783" s="135"/>
    </row>
    <row r="784" spans="40:75" x14ac:dyDescent="0.2">
      <c r="AN784" s="143"/>
      <c r="AO784" s="143"/>
      <c r="AP784" s="143"/>
      <c r="AQ784" s="143"/>
      <c r="AR784" s="143"/>
      <c r="AS784" s="143"/>
      <c r="AT784" s="143"/>
      <c r="AU784" s="143"/>
      <c r="AW784" s="135"/>
      <c r="AX784" s="135"/>
      <c r="AY784" s="135"/>
      <c r="AZ784" s="135"/>
      <c r="BA784" s="135"/>
      <c r="BB784" s="135"/>
      <c r="BC784" s="135"/>
      <c r="BK784" s="135"/>
      <c r="BN784" s="139"/>
      <c r="BO784" s="136"/>
      <c r="BQ784" s="148"/>
      <c r="BR784" s="136"/>
      <c r="BS784" s="149"/>
      <c r="BT784" s="136"/>
      <c r="BW784" s="135"/>
    </row>
    <row r="785" spans="40:75" x14ac:dyDescent="0.2">
      <c r="AN785" s="174"/>
      <c r="AO785" s="174"/>
      <c r="AP785" s="174"/>
      <c r="AQ785" s="174"/>
      <c r="AR785" s="174"/>
      <c r="AS785" s="174"/>
      <c r="AT785" s="174"/>
      <c r="AU785" s="174"/>
      <c r="AW785" s="135"/>
      <c r="AX785" s="135"/>
      <c r="AY785" s="135"/>
      <c r="AZ785" s="135"/>
      <c r="BA785" s="135"/>
      <c r="BB785" s="135"/>
      <c r="BC785" s="135"/>
      <c r="BK785" s="135"/>
      <c r="BN785" s="139"/>
      <c r="BO785" s="136"/>
      <c r="BQ785" s="148"/>
      <c r="BR785" s="136"/>
      <c r="BS785" s="149"/>
      <c r="BT785" s="136"/>
      <c r="BW785" s="135"/>
    </row>
    <row r="786" spans="40:75" x14ac:dyDescent="0.2">
      <c r="AN786" s="143"/>
      <c r="AO786" s="143"/>
      <c r="AP786" s="143"/>
      <c r="AQ786" s="143"/>
      <c r="AR786" s="143"/>
      <c r="AS786" s="143"/>
      <c r="AT786" s="143"/>
      <c r="AU786" s="143"/>
      <c r="AW786" s="135"/>
      <c r="AX786" s="135"/>
      <c r="AY786" s="135"/>
      <c r="AZ786" s="135"/>
      <c r="BA786" s="135"/>
      <c r="BB786" s="135"/>
      <c r="BC786" s="135"/>
      <c r="BK786" s="135"/>
      <c r="BN786" s="139"/>
      <c r="BO786" s="136"/>
      <c r="BQ786" s="148"/>
      <c r="BR786" s="136"/>
      <c r="BS786" s="149"/>
      <c r="BT786" s="136"/>
      <c r="BW786" s="135"/>
    </row>
    <row r="787" spans="40:75" x14ac:dyDescent="0.2">
      <c r="AN787" s="143"/>
      <c r="AO787" s="143"/>
      <c r="AP787" s="143"/>
      <c r="AQ787" s="143"/>
      <c r="AR787" s="143"/>
      <c r="AS787" s="143"/>
      <c r="AT787" s="143"/>
      <c r="AU787" s="143"/>
      <c r="AW787" s="135"/>
      <c r="AX787" s="135"/>
      <c r="AY787" s="135"/>
      <c r="AZ787" s="135"/>
      <c r="BA787" s="135"/>
      <c r="BB787" s="135"/>
      <c r="BC787" s="135"/>
      <c r="BK787" s="135"/>
      <c r="BN787" s="139"/>
      <c r="BO787" s="136"/>
      <c r="BQ787" s="148"/>
      <c r="BR787" s="136"/>
      <c r="BS787" s="149"/>
      <c r="BT787" s="136"/>
      <c r="BW787" s="135"/>
    </row>
    <row r="788" spans="40:75" x14ac:dyDescent="0.2">
      <c r="AN788" s="143"/>
      <c r="AO788" s="143"/>
      <c r="AP788" s="143"/>
      <c r="AQ788" s="143"/>
      <c r="AR788" s="143"/>
      <c r="AS788" s="143"/>
      <c r="AT788" s="143"/>
      <c r="AU788" s="143"/>
      <c r="AW788" s="135"/>
      <c r="AX788" s="135"/>
      <c r="AY788" s="135"/>
      <c r="AZ788" s="135"/>
      <c r="BA788" s="135"/>
      <c r="BB788" s="135"/>
      <c r="BC788" s="135"/>
      <c r="BK788" s="135"/>
      <c r="BN788" s="139"/>
      <c r="BO788" s="136"/>
      <c r="BQ788" s="148"/>
      <c r="BR788" s="136"/>
      <c r="BS788" s="149"/>
      <c r="BT788" s="136"/>
      <c r="BW788" s="135"/>
    </row>
    <row r="789" spans="40:75" x14ac:dyDescent="0.2">
      <c r="AN789" s="143"/>
      <c r="AO789" s="143"/>
      <c r="AP789" s="143"/>
      <c r="AQ789" s="143"/>
      <c r="AR789" s="143"/>
      <c r="AS789" s="143"/>
      <c r="AT789" s="143"/>
      <c r="AU789" s="143"/>
      <c r="AW789" s="135"/>
      <c r="AX789" s="135"/>
      <c r="AY789" s="135"/>
      <c r="AZ789" s="135"/>
      <c r="BA789" s="135"/>
      <c r="BB789" s="135"/>
      <c r="BC789" s="135"/>
      <c r="BK789" s="135"/>
      <c r="BN789" s="139"/>
      <c r="BO789" s="136"/>
      <c r="BQ789" s="148"/>
      <c r="BR789" s="136"/>
      <c r="BS789" s="149"/>
      <c r="BT789" s="136"/>
      <c r="BW789" s="135"/>
    </row>
    <row r="790" spans="40:75" x14ac:dyDescent="0.2">
      <c r="AN790" s="143"/>
      <c r="AO790" s="143"/>
      <c r="AP790" s="143"/>
      <c r="AQ790" s="143"/>
      <c r="AR790" s="143"/>
      <c r="AS790" s="143"/>
      <c r="AT790" s="143"/>
      <c r="AU790" s="143"/>
      <c r="AW790" s="135"/>
      <c r="AX790" s="135"/>
      <c r="AY790" s="135"/>
      <c r="AZ790" s="135"/>
      <c r="BA790" s="135"/>
      <c r="BB790" s="135"/>
      <c r="BC790" s="135"/>
      <c r="BK790" s="135"/>
      <c r="BN790" s="139"/>
      <c r="BO790" s="136"/>
      <c r="BQ790" s="148"/>
      <c r="BR790" s="136"/>
      <c r="BS790" s="149"/>
      <c r="BT790" s="136"/>
      <c r="BW790" s="135"/>
    </row>
    <row r="791" spans="40:75" x14ac:dyDescent="0.2">
      <c r="AN791" s="143"/>
      <c r="AO791" s="143"/>
      <c r="AP791" s="143"/>
      <c r="AQ791" s="143"/>
      <c r="AR791" s="143"/>
      <c r="AS791" s="143"/>
      <c r="AT791" s="143"/>
      <c r="AU791" s="143"/>
      <c r="AW791" s="135"/>
      <c r="AX791" s="135"/>
      <c r="AY791" s="135"/>
      <c r="AZ791" s="135"/>
      <c r="BA791" s="135"/>
      <c r="BB791" s="135"/>
      <c r="BC791" s="135"/>
      <c r="BK791" s="135"/>
      <c r="BN791" s="139"/>
      <c r="BO791" s="136"/>
      <c r="BQ791" s="148"/>
      <c r="BR791" s="136"/>
      <c r="BS791" s="149"/>
      <c r="BT791" s="136"/>
      <c r="BW791" s="135"/>
    </row>
    <row r="792" spans="40:75" x14ac:dyDescent="0.2">
      <c r="AN792" s="143"/>
      <c r="AO792" s="143"/>
      <c r="AP792" s="143"/>
      <c r="AQ792" s="143"/>
      <c r="AR792" s="143"/>
      <c r="AS792" s="143"/>
      <c r="AT792" s="143"/>
      <c r="AU792" s="143"/>
      <c r="AW792" s="135"/>
      <c r="AX792" s="135"/>
      <c r="AY792" s="135"/>
      <c r="AZ792" s="135"/>
      <c r="BA792" s="135"/>
      <c r="BB792" s="135"/>
      <c r="BC792" s="135"/>
      <c r="BK792" s="135"/>
      <c r="BN792" s="139"/>
      <c r="BO792" s="136"/>
      <c r="BQ792" s="148"/>
      <c r="BR792" s="136"/>
      <c r="BS792" s="149"/>
      <c r="BT792" s="136"/>
      <c r="BW792" s="135"/>
    </row>
    <row r="793" spans="40:75" x14ac:dyDescent="0.2">
      <c r="AN793" s="143"/>
      <c r="AO793" s="143"/>
      <c r="AP793" s="143"/>
      <c r="AQ793" s="143"/>
      <c r="AR793" s="143"/>
      <c r="AS793" s="143"/>
      <c r="AT793" s="143"/>
      <c r="AU793" s="143"/>
      <c r="AW793" s="135"/>
      <c r="AX793" s="135"/>
      <c r="AY793" s="135"/>
      <c r="AZ793" s="135"/>
      <c r="BA793" s="135"/>
      <c r="BB793" s="135"/>
      <c r="BC793" s="135"/>
      <c r="BK793" s="135"/>
      <c r="BN793" s="139"/>
      <c r="BO793" s="136"/>
      <c r="BQ793" s="148"/>
      <c r="BR793" s="136"/>
      <c r="BS793" s="149"/>
      <c r="BT793" s="136"/>
      <c r="BW793" s="135"/>
    </row>
    <row r="794" spans="40:75" x14ac:dyDescent="0.2">
      <c r="AN794" s="143"/>
      <c r="AO794" s="143"/>
      <c r="AP794" s="143"/>
      <c r="AQ794" s="143"/>
      <c r="AR794" s="143"/>
      <c r="AS794" s="143"/>
      <c r="AT794" s="143"/>
      <c r="AU794" s="143"/>
      <c r="AW794" s="135"/>
      <c r="AX794" s="135"/>
      <c r="AY794" s="135"/>
      <c r="AZ794" s="135"/>
      <c r="BA794" s="135"/>
      <c r="BB794" s="135"/>
      <c r="BC794" s="135"/>
      <c r="BK794" s="135"/>
      <c r="BN794" s="139"/>
      <c r="BO794" s="136"/>
      <c r="BQ794" s="148"/>
      <c r="BR794" s="136"/>
      <c r="BS794" s="149"/>
      <c r="BT794" s="136"/>
      <c r="BW794" s="135"/>
    </row>
    <row r="795" spans="40:75" x14ac:dyDescent="0.2">
      <c r="AN795" s="143"/>
      <c r="AO795" s="143"/>
      <c r="AP795" s="143"/>
      <c r="AQ795" s="143"/>
      <c r="AR795" s="143"/>
      <c r="AS795" s="143"/>
      <c r="AT795" s="143"/>
      <c r="AU795" s="143"/>
      <c r="AW795" s="135"/>
      <c r="AX795" s="135"/>
      <c r="AY795" s="135"/>
      <c r="AZ795" s="135"/>
      <c r="BA795" s="135"/>
      <c r="BB795" s="135"/>
      <c r="BC795" s="135"/>
      <c r="BK795" s="135"/>
      <c r="BN795" s="139"/>
      <c r="BO795" s="136"/>
      <c r="BQ795" s="148"/>
      <c r="BR795" s="136"/>
      <c r="BS795" s="149"/>
      <c r="BT795" s="136"/>
      <c r="BW795" s="135"/>
    </row>
    <row r="796" spans="40:75" x14ac:dyDescent="0.2">
      <c r="AN796" s="143"/>
      <c r="AO796" s="143"/>
      <c r="AP796" s="143"/>
      <c r="AQ796" s="143"/>
      <c r="AR796" s="143"/>
      <c r="AS796" s="143"/>
      <c r="AT796" s="143"/>
      <c r="AU796" s="143"/>
      <c r="AW796" s="135"/>
      <c r="AX796" s="135"/>
      <c r="AY796" s="135"/>
      <c r="AZ796" s="135"/>
      <c r="BA796" s="135"/>
      <c r="BB796" s="135"/>
      <c r="BC796" s="135"/>
      <c r="BK796" s="135"/>
      <c r="BN796" s="139"/>
      <c r="BO796" s="136"/>
      <c r="BQ796" s="148"/>
      <c r="BR796" s="136"/>
      <c r="BS796" s="149"/>
      <c r="BT796" s="136"/>
      <c r="BW796" s="135"/>
    </row>
    <row r="797" spans="40:75" x14ac:dyDescent="0.2">
      <c r="AN797" s="143"/>
      <c r="AO797" s="143"/>
      <c r="AP797" s="143"/>
      <c r="AQ797" s="143"/>
      <c r="AR797" s="143"/>
      <c r="AS797" s="143"/>
      <c r="AT797" s="143"/>
      <c r="AU797" s="143"/>
      <c r="AW797" s="135"/>
      <c r="AX797" s="135"/>
      <c r="AY797" s="135"/>
      <c r="AZ797" s="135"/>
      <c r="BA797" s="135"/>
      <c r="BB797" s="135"/>
      <c r="BC797" s="135"/>
      <c r="BK797" s="135"/>
      <c r="BN797" s="139"/>
      <c r="BO797" s="136"/>
      <c r="BQ797" s="148"/>
      <c r="BR797" s="136"/>
      <c r="BS797" s="149"/>
      <c r="BT797" s="136"/>
      <c r="BW797" s="135"/>
    </row>
    <row r="798" spans="40:75" x14ac:dyDescent="0.2">
      <c r="AN798" s="143"/>
      <c r="AO798" s="143"/>
      <c r="AP798" s="143"/>
      <c r="AQ798" s="143"/>
      <c r="AR798" s="143"/>
      <c r="AS798" s="143"/>
      <c r="AT798" s="143"/>
      <c r="AU798" s="143"/>
      <c r="AW798" s="135"/>
      <c r="AX798" s="135"/>
      <c r="AY798" s="135"/>
      <c r="AZ798" s="135"/>
      <c r="BA798" s="135"/>
      <c r="BB798" s="135"/>
      <c r="BC798" s="135"/>
      <c r="BK798" s="135"/>
      <c r="BN798" s="139"/>
      <c r="BO798" s="136"/>
      <c r="BQ798" s="148"/>
      <c r="BR798" s="136"/>
      <c r="BS798" s="149"/>
      <c r="BT798" s="136"/>
      <c r="BW798" s="135"/>
    </row>
    <row r="799" spans="40:75" x14ac:dyDescent="0.2">
      <c r="AN799" s="143"/>
      <c r="AO799" s="143"/>
      <c r="AP799" s="143"/>
      <c r="AQ799" s="143"/>
      <c r="AR799" s="143"/>
      <c r="AS799" s="143"/>
      <c r="AT799" s="143"/>
      <c r="AU799" s="143"/>
      <c r="AW799" s="135"/>
      <c r="AX799" s="135"/>
      <c r="AY799" s="135"/>
      <c r="AZ799" s="135"/>
      <c r="BA799" s="135"/>
      <c r="BB799" s="135"/>
      <c r="BC799" s="135"/>
      <c r="BK799" s="135"/>
      <c r="BN799" s="139"/>
      <c r="BO799" s="136"/>
      <c r="BQ799" s="148"/>
      <c r="BR799" s="136"/>
      <c r="BS799" s="149"/>
      <c r="BT799" s="136"/>
      <c r="BW799" s="135"/>
    </row>
    <row r="800" spans="40:75" x14ac:dyDescent="0.2">
      <c r="AN800" s="143"/>
      <c r="AO800" s="143"/>
      <c r="AP800" s="143"/>
      <c r="AQ800" s="143"/>
      <c r="AR800" s="143"/>
      <c r="AS800" s="143"/>
      <c r="AT800" s="143"/>
      <c r="AU800" s="143"/>
      <c r="AW800" s="135"/>
      <c r="AX800" s="135"/>
      <c r="AY800" s="135"/>
      <c r="AZ800" s="135"/>
      <c r="BA800" s="135"/>
      <c r="BB800" s="135"/>
      <c r="BC800" s="135"/>
      <c r="BK800" s="135"/>
      <c r="BN800" s="139"/>
      <c r="BO800" s="136"/>
      <c r="BQ800" s="148"/>
      <c r="BR800" s="136"/>
      <c r="BS800" s="149"/>
      <c r="BT800" s="136"/>
      <c r="BW800" s="135"/>
    </row>
    <row r="801" spans="40:75" x14ac:dyDescent="0.2">
      <c r="AN801" s="143"/>
      <c r="AO801" s="143"/>
      <c r="AP801" s="143"/>
      <c r="AQ801" s="143"/>
      <c r="AR801" s="143"/>
      <c r="AS801" s="143"/>
      <c r="AT801" s="143"/>
      <c r="AU801" s="143"/>
      <c r="AW801" s="135"/>
      <c r="AX801" s="135"/>
      <c r="AY801" s="135"/>
      <c r="AZ801" s="135"/>
      <c r="BA801" s="135"/>
      <c r="BB801" s="135"/>
      <c r="BC801" s="135"/>
      <c r="BK801" s="135"/>
      <c r="BN801" s="139"/>
      <c r="BO801" s="136"/>
      <c r="BQ801" s="148"/>
      <c r="BR801" s="136"/>
      <c r="BS801" s="149"/>
      <c r="BT801" s="136"/>
      <c r="BW801" s="135"/>
    </row>
    <row r="802" spans="40:75" x14ac:dyDescent="0.2">
      <c r="AN802" s="143"/>
      <c r="AO802" s="143"/>
      <c r="AP802" s="143"/>
      <c r="AQ802" s="143"/>
      <c r="AR802" s="143"/>
      <c r="AS802" s="143"/>
      <c r="AT802" s="143"/>
      <c r="AU802" s="143"/>
      <c r="AW802" s="135"/>
      <c r="AX802" s="135"/>
      <c r="AY802" s="135"/>
      <c r="AZ802" s="135"/>
      <c r="BA802" s="135"/>
      <c r="BB802" s="135"/>
      <c r="BC802" s="135"/>
      <c r="BK802" s="135"/>
      <c r="BN802" s="139"/>
      <c r="BO802" s="136"/>
      <c r="BQ802" s="148"/>
      <c r="BR802" s="136"/>
      <c r="BS802" s="149"/>
      <c r="BT802" s="136"/>
      <c r="BW802" s="135"/>
    </row>
    <row r="803" spans="40:75" x14ac:dyDescent="0.2">
      <c r="AN803" s="143"/>
      <c r="AO803" s="143"/>
      <c r="AP803" s="143"/>
      <c r="AQ803" s="143"/>
      <c r="AR803" s="143"/>
      <c r="AS803" s="143"/>
      <c r="AT803" s="143"/>
      <c r="AU803" s="143"/>
      <c r="AW803" s="135"/>
      <c r="AX803" s="135"/>
      <c r="AY803" s="135"/>
      <c r="AZ803" s="135"/>
      <c r="BA803" s="135"/>
      <c r="BB803" s="135"/>
      <c r="BC803" s="135"/>
      <c r="BK803" s="135"/>
      <c r="BN803" s="139"/>
      <c r="BO803" s="136"/>
      <c r="BQ803" s="148"/>
      <c r="BR803" s="136"/>
      <c r="BS803" s="149"/>
      <c r="BT803" s="136"/>
      <c r="BW803" s="135"/>
    </row>
    <row r="804" spans="40:75" x14ac:dyDescent="0.2">
      <c r="AN804" s="143"/>
      <c r="AO804" s="143"/>
      <c r="AP804" s="143"/>
      <c r="AQ804" s="143"/>
      <c r="AR804" s="143"/>
      <c r="AS804" s="143"/>
      <c r="AT804" s="143"/>
      <c r="AU804" s="143"/>
      <c r="AW804" s="135"/>
      <c r="AX804" s="135"/>
      <c r="AY804" s="135"/>
      <c r="AZ804" s="135"/>
      <c r="BA804" s="135"/>
      <c r="BB804" s="135"/>
      <c r="BC804" s="135"/>
      <c r="BK804" s="135"/>
      <c r="BN804" s="139"/>
      <c r="BO804" s="136"/>
      <c r="BQ804" s="148"/>
      <c r="BR804" s="136"/>
      <c r="BS804" s="149"/>
      <c r="BT804" s="136"/>
      <c r="BW804" s="135"/>
    </row>
    <row r="805" spans="40:75" x14ac:dyDescent="0.2">
      <c r="AN805" s="143"/>
      <c r="AO805" s="143"/>
      <c r="AP805" s="143"/>
      <c r="AQ805" s="143"/>
      <c r="AR805" s="143"/>
      <c r="AS805" s="143"/>
      <c r="AT805" s="143"/>
      <c r="AU805" s="143"/>
      <c r="AW805" s="135"/>
      <c r="AX805" s="135"/>
      <c r="AY805" s="135"/>
      <c r="AZ805" s="135"/>
      <c r="BA805" s="135"/>
      <c r="BB805" s="135"/>
      <c r="BC805" s="135"/>
      <c r="BK805" s="135"/>
      <c r="BN805" s="139"/>
      <c r="BO805" s="136"/>
      <c r="BQ805" s="148"/>
      <c r="BR805" s="136"/>
      <c r="BS805" s="149"/>
      <c r="BT805" s="136"/>
      <c r="BW805" s="135"/>
    </row>
    <row r="806" spans="40:75" x14ac:dyDescent="0.2">
      <c r="AN806" s="143"/>
      <c r="AO806" s="143"/>
      <c r="AP806" s="143"/>
      <c r="AQ806" s="143"/>
      <c r="AR806" s="143"/>
      <c r="AS806" s="143"/>
      <c r="AT806" s="143"/>
      <c r="AU806" s="143"/>
      <c r="AW806" s="135"/>
      <c r="AX806" s="135"/>
      <c r="AY806" s="135"/>
      <c r="AZ806" s="135"/>
      <c r="BA806" s="135"/>
      <c r="BB806" s="135"/>
      <c r="BC806" s="135"/>
      <c r="BK806" s="135"/>
      <c r="BN806" s="139"/>
      <c r="BO806" s="136"/>
      <c r="BQ806" s="148"/>
      <c r="BR806" s="136"/>
      <c r="BS806" s="149"/>
      <c r="BT806" s="136"/>
      <c r="BW806" s="135"/>
    </row>
    <row r="807" spans="40:75" x14ac:dyDescent="0.2">
      <c r="AN807" s="143"/>
      <c r="AO807" s="143"/>
      <c r="AP807" s="143"/>
      <c r="AQ807" s="143"/>
      <c r="AR807" s="143"/>
      <c r="AS807" s="143"/>
      <c r="AT807" s="143"/>
      <c r="AU807" s="143"/>
      <c r="AW807" s="135"/>
      <c r="AX807" s="135"/>
      <c r="AY807" s="135"/>
      <c r="AZ807" s="135"/>
      <c r="BA807" s="135"/>
      <c r="BB807" s="135"/>
      <c r="BC807" s="135"/>
      <c r="BK807" s="135"/>
      <c r="BN807" s="139"/>
      <c r="BO807" s="136"/>
      <c r="BQ807" s="148"/>
      <c r="BR807" s="136"/>
      <c r="BS807" s="149"/>
      <c r="BT807" s="136"/>
      <c r="BW807" s="135"/>
    </row>
    <row r="808" spans="40:75" x14ac:dyDescent="0.2">
      <c r="AN808" s="143"/>
      <c r="AO808" s="143"/>
      <c r="AP808" s="143"/>
      <c r="AQ808" s="143"/>
      <c r="AR808" s="143"/>
      <c r="AS808" s="143"/>
      <c r="AT808" s="143"/>
      <c r="AU808" s="143"/>
      <c r="AW808" s="135"/>
      <c r="AX808" s="135"/>
      <c r="AY808" s="135"/>
      <c r="AZ808" s="135"/>
      <c r="BA808" s="135"/>
      <c r="BB808" s="135"/>
      <c r="BC808" s="135"/>
      <c r="BK808" s="135"/>
      <c r="BN808" s="139"/>
      <c r="BO808" s="136"/>
      <c r="BQ808" s="148"/>
      <c r="BR808" s="136"/>
      <c r="BS808" s="149"/>
      <c r="BT808" s="136"/>
      <c r="BW808" s="135"/>
    </row>
    <row r="809" spans="40:75" x14ac:dyDescent="0.2">
      <c r="AN809" s="174"/>
      <c r="AO809" s="174"/>
      <c r="AP809" s="174"/>
      <c r="AQ809" s="174"/>
      <c r="AR809" s="174"/>
      <c r="AS809" s="174"/>
      <c r="AT809" s="174"/>
      <c r="AU809" s="174"/>
      <c r="AW809" s="135"/>
      <c r="AX809" s="135"/>
      <c r="AY809" s="135"/>
      <c r="AZ809" s="135"/>
      <c r="BA809" s="135"/>
      <c r="BB809" s="135"/>
      <c r="BC809" s="135"/>
      <c r="BK809" s="135"/>
      <c r="BN809" s="139"/>
      <c r="BO809" s="136"/>
      <c r="BQ809" s="148"/>
      <c r="BR809" s="136"/>
      <c r="BS809" s="149"/>
      <c r="BT809" s="136"/>
      <c r="BW809" s="135"/>
    </row>
    <row r="810" spans="40:75" x14ac:dyDescent="0.2">
      <c r="AN810" s="143"/>
      <c r="AO810" s="143"/>
      <c r="AP810" s="143"/>
      <c r="AQ810" s="143"/>
      <c r="AR810" s="143"/>
      <c r="AS810" s="143"/>
      <c r="AT810" s="143"/>
      <c r="AU810" s="143"/>
      <c r="AW810" s="135"/>
      <c r="AX810" s="135"/>
      <c r="AY810" s="135"/>
      <c r="AZ810" s="135"/>
      <c r="BA810" s="135"/>
      <c r="BB810" s="135"/>
      <c r="BC810" s="135"/>
      <c r="BK810" s="135"/>
      <c r="BN810" s="139"/>
      <c r="BO810" s="136"/>
      <c r="BQ810" s="148"/>
      <c r="BR810" s="136"/>
      <c r="BS810" s="149"/>
      <c r="BT810" s="136"/>
      <c r="BW810" s="135"/>
    </row>
    <row r="811" spans="40:75" x14ac:dyDescent="0.2">
      <c r="AN811" s="143"/>
      <c r="AO811" s="143"/>
      <c r="AP811" s="143"/>
      <c r="AQ811" s="143"/>
      <c r="AR811" s="143"/>
      <c r="AS811" s="143"/>
      <c r="AT811" s="143"/>
      <c r="AU811" s="143"/>
      <c r="AW811" s="135"/>
      <c r="AX811" s="135"/>
      <c r="AY811" s="135"/>
      <c r="AZ811" s="135"/>
      <c r="BA811" s="135"/>
      <c r="BB811" s="135"/>
      <c r="BC811" s="135"/>
      <c r="BK811" s="135"/>
      <c r="BN811" s="139"/>
      <c r="BO811" s="136"/>
      <c r="BQ811" s="148"/>
      <c r="BR811" s="136"/>
      <c r="BS811" s="149"/>
      <c r="BT811" s="136"/>
      <c r="BW811" s="135"/>
    </row>
    <row r="812" spans="40:75" x14ac:dyDescent="0.2">
      <c r="AN812" s="143"/>
      <c r="AO812" s="143"/>
      <c r="AP812" s="143"/>
      <c r="AQ812" s="143"/>
      <c r="AR812" s="143"/>
      <c r="AS812" s="143"/>
      <c r="AT812" s="143"/>
      <c r="AU812" s="143"/>
      <c r="AW812" s="135"/>
      <c r="AX812" s="135"/>
      <c r="AY812" s="135"/>
      <c r="AZ812" s="135"/>
      <c r="BA812" s="135"/>
      <c r="BB812" s="135"/>
      <c r="BC812" s="135"/>
      <c r="BK812" s="135"/>
      <c r="BN812" s="139"/>
      <c r="BO812" s="136"/>
      <c r="BQ812" s="148"/>
      <c r="BR812" s="136"/>
      <c r="BS812" s="149"/>
      <c r="BT812" s="136"/>
      <c r="BW812" s="135"/>
    </row>
    <row r="813" spans="40:75" x14ac:dyDescent="0.2">
      <c r="AN813" s="143"/>
      <c r="AO813" s="143"/>
      <c r="AP813" s="143"/>
      <c r="AQ813" s="143"/>
      <c r="AR813" s="143"/>
      <c r="AS813" s="143"/>
      <c r="AT813" s="143"/>
      <c r="AU813" s="143"/>
      <c r="AW813" s="135"/>
      <c r="AX813" s="135"/>
      <c r="AY813" s="135"/>
      <c r="AZ813" s="135"/>
      <c r="BA813" s="135"/>
      <c r="BB813" s="135"/>
      <c r="BC813" s="135"/>
      <c r="BK813" s="135"/>
      <c r="BN813" s="139"/>
      <c r="BO813" s="136"/>
      <c r="BQ813" s="148"/>
      <c r="BR813" s="136"/>
      <c r="BS813" s="149"/>
      <c r="BT813" s="136"/>
      <c r="BW813" s="135"/>
    </row>
    <row r="814" spans="40:75" x14ac:dyDescent="0.2">
      <c r="AN814" s="143"/>
      <c r="AO814" s="143"/>
      <c r="AP814" s="143"/>
      <c r="AQ814" s="143"/>
      <c r="AR814" s="143"/>
      <c r="AS814" s="143"/>
      <c r="AT814" s="143"/>
      <c r="AU814" s="143"/>
      <c r="AW814" s="135"/>
      <c r="AX814" s="135"/>
      <c r="AY814" s="135"/>
      <c r="AZ814" s="135"/>
      <c r="BA814" s="135"/>
      <c r="BB814" s="135"/>
      <c r="BC814" s="135"/>
      <c r="BK814" s="135"/>
      <c r="BN814" s="139"/>
      <c r="BO814" s="136"/>
      <c r="BQ814" s="148"/>
      <c r="BR814" s="136"/>
      <c r="BS814" s="149"/>
      <c r="BT814" s="136"/>
      <c r="BW814" s="135"/>
    </row>
    <row r="815" spans="40:75" x14ac:dyDescent="0.2">
      <c r="AN815" s="143"/>
      <c r="AO815" s="143"/>
      <c r="AP815" s="143"/>
      <c r="AQ815" s="143"/>
      <c r="AR815" s="143"/>
      <c r="AS815" s="143"/>
      <c r="AT815" s="143"/>
      <c r="AU815" s="143"/>
      <c r="AW815" s="135"/>
      <c r="AX815" s="135"/>
      <c r="AY815" s="135"/>
      <c r="AZ815" s="135"/>
      <c r="BA815" s="135"/>
      <c r="BB815" s="135"/>
      <c r="BC815" s="135"/>
      <c r="BK815" s="135"/>
      <c r="BN815" s="139"/>
      <c r="BO815" s="136"/>
      <c r="BQ815" s="148"/>
      <c r="BR815" s="136"/>
      <c r="BS815" s="149"/>
      <c r="BT815" s="136"/>
      <c r="BW815" s="135"/>
    </row>
    <row r="816" spans="40:75" x14ac:dyDescent="0.2">
      <c r="AN816" s="143"/>
      <c r="AO816" s="143"/>
      <c r="AP816" s="143"/>
      <c r="AQ816" s="143"/>
      <c r="AR816" s="143"/>
      <c r="AS816" s="143"/>
      <c r="AT816" s="143"/>
      <c r="AU816" s="143"/>
      <c r="AW816" s="135"/>
      <c r="AX816" s="135"/>
      <c r="AY816" s="135"/>
      <c r="AZ816" s="135"/>
      <c r="BA816" s="135"/>
      <c r="BB816" s="135"/>
      <c r="BC816" s="135"/>
      <c r="BK816" s="135"/>
      <c r="BN816" s="139"/>
      <c r="BO816" s="136"/>
      <c r="BQ816" s="148"/>
      <c r="BR816" s="136"/>
      <c r="BS816" s="149"/>
      <c r="BT816" s="136"/>
      <c r="BW816" s="135"/>
    </row>
    <row r="817" spans="40:76" x14ac:dyDescent="0.2">
      <c r="AN817" s="143"/>
      <c r="AO817" s="143"/>
      <c r="AP817" s="143"/>
      <c r="AQ817" s="143"/>
      <c r="AR817" s="143"/>
      <c r="AS817" s="143"/>
      <c r="AT817" s="143"/>
      <c r="AU817" s="143"/>
      <c r="AW817" s="135"/>
      <c r="AX817" s="135"/>
      <c r="AY817" s="135"/>
      <c r="AZ817" s="135"/>
      <c r="BA817" s="135"/>
      <c r="BB817" s="135"/>
      <c r="BC817" s="135"/>
      <c r="BK817" s="135"/>
      <c r="BN817" s="139"/>
      <c r="BO817" s="136"/>
      <c r="BQ817" s="148"/>
      <c r="BR817" s="136"/>
      <c r="BS817" s="149"/>
      <c r="BT817" s="136"/>
      <c r="BW817" s="135"/>
    </row>
    <row r="818" spans="40:76" x14ac:dyDescent="0.2">
      <c r="AN818" s="143"/>
      <c r="AO818" s="143"/>
      <c r="AP818" s="143"/>
      <c r="AQ818" s="143"/>
      <c r="AR818" s="143"/>
      <c r="AS818" s="143"/>
      <c r="AT818" s="143"/>
      <c r="AU818" s="143"/>
      <c r="AW818" s="135"/>
      <c r="AX818" s="135"/>
      <c r="AY818" s="135"/>
      <c r="AZ818" s="135"/>
      <c r="BA818" s="135"/>
      <c r="BB818" s="135"/>
      <c r="BC818" s="135"/>
      <c r="BK818" s="135"/>
      <c r="BN818" s="139"/>
      <c r="BO818" s="136"/>
      <c r="BQ818" s="148"/>
      <c r="BR818" s="136"/>
      <c r="BS818" s="149"/>
      <c r="BT818" s="136"/>
      <c r="BW818" s="135"/>
    </row>
    <row r="819" spans="40:76" x14ac:dyDescent="0.2">
      <c r="AN819" s="143"/>
      <c r="AO819" s="143"/>
      <c r="AP819" s="143"/>
      <c r="AQ819" s="143"/>
      <c r="AR819" s="143"/>
      <c r="AS819" s="143"/>
      <c r="AT819" s="143"/>
      <c r="AU819" s="143"/>
      <c r="AW819" s="135"/>
      <c r="AX819" s="135"/>
      <c r="AY819" s="135"/>
      <c r="AZ819" s="135"/>
      <c r="BA819" s="135"/>
      <c r="BB819" s="135"/>
      <c r="BC819" s="135"/>
      <c r="BK819" s="135"/>
      <c r="BN819" s="139"/>
      <c r="BO819" s="136"/>
      <c r="BQ819" s="148"/>
      <c r="BR819" s="136"/>
      <c r="BS819" s="149"/>
      <c r="BT819" s="136"/>
      <c r="BW819" s="135"/>
    </row>
    <row r="820" spans="40:76" x14ac:dyDescent="0.2">
      <c r="AN820" s="143"/>
      <c r="AO820" s="143"/>
      <c r="AP820" s="143"/>
      <c r="AQ820" s="143"/>
      <c r="AR820" s="143"/>
      <c r="AS820" s="143"/>
      <c r="AT820" s="143"/>
      <c r="AU820" s="143"/>
      <c r="AW820" s="135"/>
      <c r="AX820" s="135"/>
      <c r="AY820" s="135"/>
      <c r="AZ820" s="135"/>
      <c r="BA820" s="135"/>
      <c r="BB820" s="135"/>
      <c r="BC820" s="135"/>
      <c r="BK820" s="135"/>
      <c r="BN820" s="139"/>
      <c r="BO820" s="136"/>
      <c r="BQ820" s="148"/>
      <c r="BR820" s="136"/>
      <c r="BS820" s="149"/>
      <c r="BT820" s="136"/>
      <c r="BW820" s="135"/>
    </row>
    <row r="821" spans="40:76" x14ac:dyDescent="0.2">
      <c r="AN821" s="143"/>
      <c r="AO821" s="143"/>
      <c r="AP821" s="143"/>
      <c r="AQ821" s="143"/>
      <c r="AR821" s="143"/>
      <c r="AS821" s="143"/>
      <c r="AT821" s="143"/>
      <c r="AU821" s="143"/>
      <c r="AW821" s="135"/>
      <c r="AX821" s="135"/>
      <c r="AY821" s="135"/>
      <c r="AZ821" s="135"/>
      <c r="BA821" s="135"/>
      <c r="BB821" s="135"/>
      <c r="BC821" s="135"/>
      <c r="BK821" s="135"/>
      <c r="BN821" s="139"/>
      <c r="BO821" s="136"/>
      <c r="BQ821" s="148"/>
      <c r="BR821" s="136"/>
      <c r="BS821" s="149"/>
      <c r="BT821" s="136"/>
      <c r="BW821" s="135"/>
    </row>
    <row r="822" spans="40:76" x14ac:dyDescent="0.2">
      <c r="AN822" s="143"/>
      <c r="AO822" s="143"/>
      <c r="AP822" s="143"/>
      <c r="AQ822" s="143"/>
      <c r="AR822" s="143"/>
      <c r="AS822" s="143"/>
      <c r="AT822" s="143"/>
      <c r="AU822" s="143"/>
      <c r="AW822" s="135"/>
      <c r="AX822" s="135"/>
      <c r="AY822" s="135"/>
      <c r="AZ822" s="135"/>
      <c r="BA822" s="135"/>
      <c r="BB822" s="135"/>
      <c r="BC822" s="135"/>
      <c r="BK822" s="135"/>
      <c r="BN822" s="139"/>
      <c r="BO822" s="136"/>
      <c r="BQ822" s="148"/>
      <c r="BR822" s="136"/>
      <c r="BS822" s="149"/>
      <c r="BT822" s="136"/>
      <c r="BW822" s="135"/>
    </row>
    <row r="823" spans="40:76" x14ac:dyDescent="0.2">
      <c r="AN823" s="143"/>
      <c r="AO823" s="143"/>
      <c r="AP823" s="143"/>
      <c r="AQ823" s="143"/>
      <c r="AR823" s="143"/>
      <c r="AS823" s="143"/>
      <c r="AT823" s="143"/>
      <c r="AU823" s="143"/>
      <c r="AW823" s="135"/>
      <c r="AX823" s="135"/>
      <c r="AY823" s="135"/>
      <c r="AZ823" s="135"/>
      <c r="BA823" s="135"/>
      <c r="BB823" s="135"/>
      <c r="BC823" s="135"/>
      <c r="BK823" s="135"/>
      <c r="BN823" s="139"/>
      <c r="BO823" s="136"/>
      <c r="BQ823" s="148"/>
      <c r="BR823" s="136"/>
      <c r="BS823" s="149"/>
      <c r="BT823" s="136"/>
      <c r="BW823" s="135"/>
    </row>
    <row r="824" spans="40:76" x14ac:dyDescent="0.2">
      <c r="AN824" s="143"/>
      <c r="AO824" s="143"/>
      <c r="AP824" s="143"/>
      <c r="AQ824" s="143"/>
      <c r="AR824" s="143"/>
      <c r="AS824" s="143"/>
      <c r="AT824" s="143"/>
      <c r="AU824" s="143"/>
      <c r="AW824" s="135"/>
      <c r="AX824" s="135"/>
      <c r="AY824" s="135"/>
      <c r="AZ824" s="135"/>
      <c r="BA824" s="135"/>
      <c r="BB824" s="135"/>
      <c r="BC824" s="135"/>
      <c r="BK824" s="135"/>
      <c r="BN824" s="139"/>
      <c r="BO824" s="136"/>
      <c r="BQ824" s="148"/>
      <c r="BR824" s="136"/>
      <c r="BS824" s="149"/>
      <c r="BT824" s="136"/>
      <c r="BW824" s="135"/>
    </row>
    <row r="825" spans="40:76" x14ac:dyDescent="0.2">
      <c r="AN825" s="143"/>
      <c r="AO825" s="143"/>
      <c r="AP825" s="143"/>
      <c r="AQ825" s="143"/>
      <c r="AR825" s="143"/>
      <c r="AS825" s="143"/>
      <c r="AT825" s="143"/>
      <c r="AU825" s="143"/>
      <c r="AW825" s="135"/>
      <c r="AX825" s="135"/>
      <c r="AY825" s="135"/>
      <c r="AZ825" s="135"/>
      <c r="BA825" s="135"/>
      <c r="BB825" s="135"/>
      <c r="BC825" s="135"/>
      <c r="BK825" s="135"/>
      <c r="BN825" s="139"/>
      <c r="BO825" s="136"/>
      <c r="BQ825" s="148"/>
      <c r="BR825" s="136"/>
      <c r="BS825" s="149"/>
      <c r="BT825" s="136"/>
      <c r="BW825" s="135"/>
    </row>
    <row r="826" spans="40:76" x14ac:dyDescent="0.2">
      <c r="AN826" s="143"/>
      <c r="AO826" s="143"/>
      <c r="AP826" s="143"/>
      <c r="AQ826" s="143"/>
      <c r="AR826" s="143"/>
      <c r="AS826" s="143"/>
      <c r="AT826" s="143"/>
      <c r="AU826" s="143"/>
      <c r="AW826" s="135"/>
      <c r="AX826" s="135"/>
      <c r="AY826" s="135"/>
      <c r="AZ826" s="135"/>
      <c r="BA826" s="135"/>
      <c r="BB826" s="135"/>
      <c r="BC826" s="135"/>
      <c r="BK826" s="135"/>
      <c r="BN826" s="139"/>
      <c r="BO826" s="136"/>
      <c r="BQ826" s="148"/>
      <c r="BR826" s="136"/>
      <c r="BS826" s="149"/>
      <c r="BT826" s="136"/>
      <c r="BW826" s="135"/>
    </row>
    <row r="827" spans="40:76" x14ac:dyDescent="0.2">
      <c r="AN827" s="143"/>
      <c r="AO827" s="143"/>
      <c r="AP827" s="143"/>
      <c r="AQ827" s="143"/>
      <c r="AR827" s="143"/>
      <c r="AS827" s="143"/>
      <c r="AT827" s="143"/>
      <c r="AU827" s="143"/>
      <c r="AW827" s="135"/>
      <c r="AX827" s="135"/>
      <c r="AY827" s="135"/>
      <c r="AZ827" s="135"/>
      <c r="BA827" s="135"/>
      <c r="BB827" s="135"/>
      <c r="BC827" s="135"/>
      <c r="BK827" s="135"/>
      <c r="BN827" s="139"/>
      <c r="BO827" s="136"/>
      <c r="BQ827" s="148"/>
      <c r="BR827" s="136"/>
      <c r="BS827" s="149"/>
      <c r="BT827" s="136"/>
      <c r="BW827" s="135"/>
      <c r="BX827" s="365"/>
    </row>
    <row r="828" spans="40:76" x14ac:dyDescent="0.2">
      <c r="AN828" s="143"/>
      <c r="AO828" s="143"/>
      <c r="AP828" s="143"/>
      <c r="AQ828" s="143"/>
      <c r="AR828" s="143"/>
      <c r="AS828" s="143"/>
      <c r="AT828" s="143"/>
      <c r="AU828" s="143"/>
      <c r="AW828" s="135"/>
      <c r="AX828" s="135"/>
      <c r="AY828" s="135"/>
      <c r="AZ828" s="135"/>
      <c r="BA828" s="135"/>
      <c r="BB828" s="135"/>
      <c r="BC828" s="135"/>
      <c r="BK828" s="135"/>
      <c r="BN828" s="139"/>
      <c r="BO828" s="136"/>
      <c r="BQ828" s="148"/>
      <c r="BR828" s="136"/>
      <c r="BS828" s="149"/>
      <c r="BT828" s="136"/>
      <c r="BW828" s="135"/>
      <c r="BX828" s="365"/>
    </row>
    <row r="829" spans="40:76" x14ac:dyDescent="0.2">
      <c r="AN829" s="143"/>
      <c r="AO829" s="143"/>
      <c r="AP829" s="143"/>
      <c r="AQ829" s="143"/>
      <c r="AR829" s="143"/>
      <c r="AS829" s="143"/>
      <c r="AT829" s="143"/>
      <c r="AU829" s="143"/>
      <c r="AW829" s="135"/>
      <c r="AX829" s="135"/>
      <c r="AY829" s="135"/>
      <c r="AZ829" s="135"/>
      <c r="BA829" s="135"/>
      <c r="BB829" s="135"/>
      <c r="BC829" s="135"/>
      <c r="BK829" s="135"/>
      <c r="BN829" s="139"/>
      <c r="BO829" s="136"/>
      <c r="BQ829" s="148"/>
      <c r="BR829" s="136"/>
      <c r="BS829" s="149"/>
      <c r="BT829" s="136"/>
      <c r="BW829" s="135"/>
      <c r="BX829" s="365"/>
    </row>
    <row r="830" spans="40:76" x14ac:dyDescent="0.2">
      <c r="AN830" s="143"/>
      <c r="AO830" s="143"/>
      <c r="AP830" s="143"/>
      <c r="AQ830" s="143"/>
      <c r="AR830" s="143"/>
      <c r="AS830" s="143"/>
      <c r="AT830" s="143"/>
      <c r="AU830" s="143"/>
      <c r="AW830" s="135"/>
      <c r="AX830" s="135"/>
      <c r="AY830" s="135"/>
      <c r="AZ830" s="135"/>
      <c r="BA830" s="135"/>
      <c r="BB830" s="135"/>
      <c r="BC830" s="135"/>
      <c r="BK830" s="135"/>
      <c r="BN830" s="139"/>
      <c r="BO830" s="136"/>
      <c r="BQ830" s="148"/>
      <c r="BR830" s="136"/>
      <c r="BS830" s="149"/>
      <c r="BT830" s="136"/>
      <c r="BW830" s="135"/>
      <c r="BX830" s="365"/>
    </row>
    <row r="831" spans="40:76" x14ac:dyDescent="0.2">
      <c r="AN831" s="143"/>
      <c r="AO831" s="143"/>
      <c r="AP831" s="143"/>
      <c r="AQ831" s="143"/>
      <c r="AR831" s="143"/>
      <c r="AS831" s="143"/>
      <c r="AT831" s="143"/>
      <c r="AU831" s="143"/>
      <c r="AW831" s="135"/>
      <c r="AX831" s="135"/>
      <c r="AY831" s="135"/>
      <c r="AZ831" s="135"/>
      <c r="BA831" s="135"/>
      <c r="BB831" s="135"/>
      <c r="BC831" s="135"/>
      <c r="BK831" s="135"/>
      <c r="BN831" s="139"/>
      <c r="BO831" s="136"/>
      <c r="BQ831" s="148"/>
      <c r="BR831" s="136"/>
      <c r="BS831" s="149"/>
      <c r="BT831" s="136"/>
      <c r="BW831" s="135"/>
      <c r="BX831" s="365"/>
    </row>
    <row r="832" spans="40:76" x14ac:dyDescent="0.2">
      <c r="AN832" s="143"/>
      <c r="AO832" s="143"/>
      <c r="AP832" s="143"/>
      <c r="AQ832" s="143"/>
      <c r="AR832" s="143"/>
      <c r="AS832" s="143"/>
      <c r="AT832" s="143"/>
      <c r="AU832" s="143"/>
      <c r="AW832" s="135"/>
      <c r="AX832" s="135"/>
      <c r="AY832" s="135"/>
      <c r="AZ832" s="135"/>
      <c r="BA832" s="135"/>
      <c r="BB832" s="135"/>
      <c r="BC832" s="135"/>
      <c r="BK832" s="135"/>
      <c r="BN832" s="139"/>
      <c r="BO832" s="136"/>
      <c r="BQ832" s="148"/>
      <c r="BR832" s="136"/>
      <c r="BS832" s="149"/>
      <c r="BT832" s="136"/>
      <c r="BW832" s="135"/>
      <c r="BX832" s="365"/>
    </row>
    <row r="833" spans="40:76" x14ac:dyDescent="0.2">
      <c r="AN833" s="143"/>
      <c r="AO833" s="143"/>
      <c r="AP833" s="143"/>
      <c r="AQ833" s="143"/>
      <c r="AR833" s="143"/>
      <c r="AS833" s="143"/>
      <c r="AT833" s="143"/>
      <c r="AU833" s="143"/>
      <c r="AW833" s="135"/>
      <c r="AX833" s="135"/>
      <c r="AY833" s="135"/>
      <c r="AZ833" s="135"/>
      <c r="BA833" s="135"/>
      <c r="BB833" s="135"/>
      <c r="BC833" s="135"/>
      <c r="BK833" s="135"/>
      <c r="BN833" s="139"/>
      <c r="BO833" s="136"/>
      <c r="BQ833" s="148"/>
      <c r="BR833" s="136"/>
      <c r="BS833" s="149"/>
      <c r="BT833" s="136"/>
      <c r="BW833" s="135"/>
      <c r="BX833" s="365"/>
    </row>
    <row r="834" spans="40:76" x14ac:dyDescent="0.2">
      <c r="AN834" s="143"/>
      <c r="AO834" s="143"/>
      <c r="AP834" s="143"/>
      <c r="AQ834" s="143"/>
      <c r="AR834" s="143"/>
      <c r="AS834" s="143"/>
      <c r="AT834" s="143"/>
      <c r="AU834" s="143"/>
      <c r="AW834" s="135"/>
      <c r="AX834" s="135"/>
      <c r="AY834" s="135"/>
      <c r="AZ834" s="135"/>
      <c r="BA834" s="135"/>
      <c r="BB834" s="135"/>
      <c r="BC834" s="135"/>
      <c r="BK834" s="135"/>
      <c r="BN834" s="139"/>
      <c r="BO834" s="136"/>
      <c r="BQ834" s="148"/>
      <c r="BR834" s="136"/>
      <c r="BS834" s="149"/>
      <c r="BT834" s="136"/>
      <c r="BW834" s="135"/>
      <c r="BX834" s="365"/>
    </row>
    <row r="835" spans="40:76" x14ac:dyDescent="0.2">
      <c r="AN835" s="143"/>
      <c r="AO835" s="143"/>
      <c r="AP835" s="143"/>
      <c r="AQ835" s="143"/>
      <c r="AR835" s="143"/>
      <c r="AS835" s="143"/>
      <c r="AT835" s="143"/>
      <c r="AU835" s="143"/>
      <c r="AW835" s="135"/>
      <c r="AX835" s="135"/>
      <c r="AY835" s="135"/>
      <c r="AZ835" s="135"/>
      <c r="BA835" s="135"/>
      <c r="BB835" s="135"/>
      <c r="BC835" s="135"/>
      <c r="BK835" s="135"/>
      <c r="BN835" s="139"/>
      <c r="BO835" s="136"/>
      <c r="BQ835" s="148"/>
      <c r="BR835" s="136"/>
      <c r="BS835" s="149"/>
      <c r="BT835" s="136"/>
      <c r="BW835" s="135"/>
      <c r="BX835" s="365"/>
    </row>
    <row r="836" spans="40:76" x14ac:dyDescent="0.2">
      <c r="AN836" s="143"/>
      <c r="AO836" s="143"/>
      <c r="AP836" s="143"/>
      <c r="AQ836" s="143"/>
      <c r="AR836" s="143"/>
      <c r="AS836" s="143"/>
      <c r="AT836" s="143"/>
      <c r="AU836" s="143"/>
      <c r="AW836" s="135"/>
      <c r="AX836" s="135"/>
      <c r="AY836" s="135"/>
      <c r="AZ836" s="135"/>
      <c r="BA836" s="135"/>
      <c r="BB836" s="135"/>
      <c r="BC836" s="135"/>
      <c r="BK836" s="135"/>
      <c r="BN836" s="139"/>
      <c r="BO836" s="136"/>
      <c r="BQ836" s="148"/>
      <c r="BR836" s="136"/>
      <c r="BS836" s="149"/>
      <c r="BT836" s="136"/>
      <c r="BW836" s="135"/>
      <c r="BX836" s="365"/>
    </row>
    <row r="837" spans="40:76" x14ac:dyDescent="0.2">
      <c r="AN837" s="143"/>
      <c r="AO837" s="143"/>
      <c r="AP837" s="143"/>
      <c r="AQ837" s="143"/>
      <c r="AR837" s="143"/>
      <c r="AS837" s="143"/>
      <c r="AT837" s="143"/>
      <c r="AU837" s="143"/>
      <c r="AW837" s="135"/>
      <c r="AX837" s="135"/>
      <c r="AY837" s="135"/>
      <c r="AZ837" s="135"/>
      <c r="BA837" s="135"/>
      <c r="BB837" s="135"/>
      <c r="BC837" s="135"/>
      <c r="BK837" s="135"/>
      <c r="BN837" s="139"/>
      <c r="BO837" s="136"/>
      <c r="BQ837" s="148"/>
      <c r="BR837" s="136"/>
      <c r="BS837" s="149"/>
      <c r="BT837" s="136"/>
      <c r="BW837" s="135"/>
      <c r="BX837" s="365"/>
    </row>
    <row r="838" spans="40:76" x14ac:dyDescent="0.2">
      <c r="AN838" s="143"/>
      <c r="AO838" s="143"/>
      <c r="AP838" s="143"/>
      <c r="AQ838" s="143"/>
      <c r="AR838" s="143"/>
      <c r="AS838" s="143"/>
      <c r="AT838" s="143"/>
      <c r="AU838" s="143"/>
      <c r="AW838" s="135"/>
      <c r="AX838" s="135"/>
      <c r="AY838" s="135"/>
      <c r="AZ838" s="135"/>
      <c r="BA838" s="135"/>
      <c r="BB838" s="135"/>
      <c r="BC838" s="135"/>
      <c r="BK838" s="135"/>
      <c r="BN838" s="139"/>
      <c r="BO838" s="136"/>
      <c r="BQ838" s="148"/>
      <c r="BR838" s="136"/>
      <c r="BS838" s="149"/>
      <c r="BT838" s="136"/>
      <c r="BW838" s="135"/>
      <c r="BX838" s="365"/>
    </row>
    <row r="839" spans="40:76" x14ac:dyDescent="0.2">
      <c r="AN839" s="143"/>
      <c r="AO839" s="143"/>
      <c r="AP839" s="143"/>
      <c r="AQ839" s="143"/>
      <c r="AR839" s="143"/>
      <c r="AS839" s="143"/>
      <c r="AT839" s="143"/>
      <c r="AU839" s="143"/>
      <c r="AW839" s="135"/>
      <c r="AX839" s="135"/>
      <c r="AY839" s="135"/>
      <c r="AZ839" s="135"/>
      <c r="BA839" s="135"/>
      <c r="BB839" s="135"/>
      <c r="BC839" s="135"/>
      <c r="BK839" s="135"/>
      <c r="BN839" s="139"/>
      <c r="BO839" s="136"/>
      <c r="BQ839" s="148"/>
      <c r="BR839" s="136"/>
      <c r="BS839" s="149"/>
      <c r="BT839" s="136"/>
      <c r="BW839" s="135"/>
      <c r="BX839" s="365"/>
    </row>
    <row r="840" spans="40:76" x14ac:dyDescent="0.2">
      <c r="AN840" s="143"/>
      <c r="AO840" s="143"/>
      <c r="AP840" s="143"/>
      <c r="AQ840" s="143"/>
      <c r="AR840" s="143"/>
      <c r="AS840" s="143"/>
      <c r="AT840" s="143"/>
      <c r="AU840" s="143"/>
      <c r="AW840" s="135"/>
      <c r="AX840" s="135"/>
      <c r="AY840" s="135"/>
      <c r="AZ840" s="135"/>
      <c r="BA840" s="135"/>
      <c r="BB840" s="135"/>
      <c r="BC840" s="135"/>
      <c r="BK840" s="135"/>
      <c r="BN840" s="139"/>
      <c r="BO840" s="136"/>
      <c r="BQ840" s="148"/>
      <c r="BR840" s="136"/>
      <c r="BS840" s="149"/>
      <c r="BT840" s="136"/>
      <c r="BW840" s="135"/>
      <c r="BX840" s="365"/>
    </row>
    <row r="841" spans="40:76" x14ac:dyDescent="0.2">
      <c r="AN841" s="143"/>
      <c r="AO841" s="143"/>
      <c r="AP841" s="143"/>
      <c r="AQ841" s="143"/>
      <c r="AR841" s="143"/>
      <c r="AS841" s="143"/>
      <c r="AT841" s="143"/>
      <c r="AU841" s="143"/>
      <c r="AW841" s="135"/>
      <c r="AX841" s="135"/>
      <c r="AY841" s="135"/>
      <c r="AZ841" s="135"/>
      <c r="BA841" s="135"/>
      <c r="BB841" s="135"/>
      <c r="BC841" s="135"/>
      <c r="BK841" s="135"/>
      <c r="BN841" s="139"/>
      <c r="BO841" s="136"/>
      <c r="BQ841" s="148"/>
      <c r="BR841" s="136"/>
      <c r="BS841" s="149"/>
      <c r="BT841" s="136"/>
      <c r="BW841" s="135"/>
      <c r="BX841" s="365"/>
    </row>
    <row r="842" spans="40:76" x14ac:dyDescent="0.2">
      <c r="AN842" s="143"/>
      <c r="AO842" s="143"/>
      <c r="AP842" s="143"/>
      <c r="AQ842" s="143"/>
      <c r="AR842" s="143"/>
      <c r="AS842" s="143"/>
      <c r="AT842" s="143"/>
      <c r="AU842" s="143"/>
      <c r="AW842" s="135"/>
      <c r="AX842" s="135"/>
      <c r="AY842" s="135"/>
      <c r="AZ842" s="135"/>
      <c r="BA842" s="135"/>
      <c r="BB842" s="135"/>
      <c r="BC842" s="135"/>
      <c r="BK842" s="135"/>
      <c r="BN842" s="139"/>
      <c r="BO842" s="136"/>
      <c r="BQ842" s="148"/>
      <c r="BR842" s="136"/>
      <c r="BS842" s="149"/>
      <c r="BT842" s="136"/>
      <c r="BW842" s="135"/>
      <c r="BX842" s="365"/>
    </row>
    <row r="843" spans="40:76" x14ac:dyDescent="0.2">
      <c r="AN843" s="143"/>
      <c r="AO843" s="143"/>
      <c r="AP843" s="143"/>
      <c r="AQ843" s="143"/>
      <c r="AR843" s="143"/>
      <c r="AS843" s="143"/>
      <c r="AT843" s="143"/>
      <c r="AU843" s="143"/>
      <c r="AW843" s="135"/>
      <c r="AX843" s="135"/>
      <c r="AY843" s="135"/>
      <c r="AZ843" s="135"/>
      <c r="BA843" s="135"/>
      <c r="BB843" s="135"/>
      <c r="BC843" s="135"/>
      <c r="BK843" s="135"/>
      <c r="BN843" s="139"/>
      <c r="BO843" s="136"/>
      <c r="BQ843" s="148"/>
      <c r="BR843" s="136"/>
      <c r="BS843" s="149"/>
      <c r="BT843" s="136"/>
      <c r="BW843" s="135"/>
      <c r="BX843" s="365"/>
    </row>
    <row r="844" spans="40:76" x14ac:dyDescent="0.2">
      <c r="AN844" s="143"/>
      <c r="AO844" s="143"/>
      <c r="AP844" s="143"/>
      <c r="AQ844" s="143"/>
      <c r="AR844" s="143"/>
      <c r="AS844" s="143"/>
      <c r="AT844" s="143"/>
      <c r="AU844" s="143"/>
      <c r="AW844" s="135"/>
      <c r="AX844" s="135"/>
      <c r="AY844" s="135"/>
      <c r="AZ844" s="135"/>
      <c r="BA844" s="135"/>
      <c r="BB844" s="135"/>
      <c r="BC844" s="135"/>
      <c r="BK844" s="135"/>
      <c r="BN844" s="139"/>
      <c r="BO844" s="136"/>
      <c r="BQ844" s="148"/>
      <c r="BR844" s="136"/>
      <c r="BS844" s="149"/>
      <c r="BT844" s="136"/>
      <c r="BW844" s="135"/>
      <c r="BX844" s="365"/>
    </row>
    <row r="845" spans="40:76" x14ac:dyDescent="0.2">
      <c r="AN845" s="143"/>
      <c r="AO845" s="143"/>
      <c r="AP845" s="143"/>
      <c r="AQ845" s="143"/>
      <c r="AR845" s="143"/>
      <c r="AS845" s="143"/>
      <c r="AT845" s="143"/>
      <c r="AU845" s="143"/>
      <c r="AW845" s="135"/>
      <c r="AX845" s="135"/>
      <c r="AY845" s="135"/>
      <c r="AZ845" s="135"/>
      <c r="BA845" s="135"/>
      <c r="BB845" s="135"/>
      <c r="BC845" s="135"/>
      <c r="BK845" s="135"/>
      <c r="BN845" s="139"/>
      <c r="BO845" s="136"/>
      <c r="BQ845" s="148"/>
      <c r="BR845" s="136"/>
      <c r="BS845" s="149"/>
      <c r="BT845" s="136"/>
      <c r="BW845" s="135"/>
      <c r="BX845" s="365"/>
    </row>
    <row r="846" spans="40:76" x14ac:dyDescent="0.2">
      <c r="AN846" s="143"/>
      <c r="AO846" s="143"/>
      <c r="AP846" s="143"/>
      <c r="AQ846" s="143"/>
      <c r="AR846" s="143"/>
      <c r="AS846" s="143"/>
      <c r="AT846" s="143"/>
      <c r="AU846" s="143"/>
      <c r="AW846" s="135"/>
      <c r="AX846" s="135"/>
      <c r="AY846" s="135"/>
      <c r="AZ846" s="135"/>
      <c r="BA846" s="135"/>
      <c r="BB846" s="135"/>
      <c r="BC846" s="135"/>
      <c r="BK846" s="135"/>
      <c r="BN846" s="139"/>
      <c r="BO846" s="136"/>
      <c r="BQ846" s="148"/>
      <c r="BR846" s="136"/>
      <c r="BS846" s="149"/>
      <c r="BT846" s="136"/>
      <c r="BW846" s="135"/>
      <c r="BX846" s="365"/>
    </row>
    <row r="847" spans="40:76" x14ac:dyDescent="0.2">
      <c r="AN847" s="143"/>
      <c r="AO847" s="143"/>
      <c r="AP847" s="143"/>
      <c r="AQ847" s="143"/>
      <c r="AR847" s="143"/>
      <c r="AS847" s="143"/>
      <c r="AT847" s="143"/>
      <c r="AU847" s="143"/>
      <c r="AW847" s="135"/>
      <c r="AX847" s="135"/>
      <c r="AY847" s="135"/>
      <c r="AZ847" s="135"/>
      <c r="BA847" s="135"/>
      <c r="BB847" s="135"/>
      <c r="BC847" s="135"/>
      <c r="BK847" s="135"/>
      <c r="BN847" s="139"/>
      <c r="BO847" s="136"/>
      <c r="BQ847" s="148"/>
      <c r="BR847" s="136"/>
      <c r="BS847" s="149"/>
      <c r="BT847" s="136"/>
      <c r="BW847" s="135"/>
      <c r="BX847" s="365"/>
    </row>
    <row r="848" spans="40:76" x14ac:dyDescent="0.2">
      <c r="AN848" s="143"/>
      <c r="AO848" s="143"/>
      <c r="AP848" s="143"/>
      <c r="AQ848" s="143"/>
      <c r="AR848" s="143"/>
      <c r="AS848" s="143"/>
      <c r="AT848" s="143"/>
      <c r="AU848" s="143"/>
      <c r="AW848" s="135"/>
      <c r="AX848" s="135"/>
      <c r="AY848" s="135"/>
      <c r="AZ848" s="135"/>
      <c r="BA848" s="135"/>
      <c r="BB848" s="135"/>
      <c r="BC848" s="135"/>
      <c r="BK848" s="135"/>
      <c r="BN848" s="139"/>
      <c r="BO848" s="136"/>
      <c r="BQ848" s="148"/>
      <c r="BR848" s="136"/>
      <c r="BS848" s="149"/>
      <c r="BT848" s="136"/>
      <c r="BW848" s="135"/>
      <c r="BX848" s="365"/>
    </row>
    <row r="849" spans="40:76" x14ac:dyDescent="0.2">
      <c r="AN849" s="143"/>
      <c r="AO849" s="143"/>
      <c r="AP849" s="143"/>
      <c r="AQ849" s="143"/>
      <c r="AR849" s="143"/>
      <c r="AS849" s="143"/>
      <c r="AT849" s="143"/>
      <c r="AU849" s="143"/>
      <c r="AW849" s="135"/>
      <c r="AX849" s="135"/>
      <c r="AY849" s="135"/>
      <c r="AZ849" s="135"/>
      <c r="BA849" s="135"/>
      <c r="BB849" s="135"/>
      <c r="BC849" s="135"/>
      <c r="BK849" s="135"/>
      <c r="BN849" s="139"/>
      <c r="BO849" s="136"/>
      <c r="BQ849" s="148"/>
      <c r="BR849" s="136"/>
      <c r="BS849" s="149"/>
      <c r="BT849" s="136"/>
      <c r="BW849" s="135"/>
      <c r="BX849" s="369"/>
    </row>
    <row r="850" spans="40:76" x14ac:dyDescent="0.2">
      <c r="AN850" s="143"/>
      <c r="AO850" s="143"/>
      <c r="AP850" s="143"/>
      <c r="AQ850" s="143"/>
      <c r="AR850" s="143"/>
      <c r="AS850" s="143"/>
      <c r="AT850" s="143"/>
      <c r="AU850" s="143"/>
      <c r="AW850" s="135"/>
      <c r="AX850" s="135"/>
      <c r="AY850" s="135"/>
      <c r="AZ850" s="135"/>
      <c r="BA850" s="135"/>
      <c r="BB850" s="135"/>
      <c r="BC850" s="135"/>
      <c r="BK850" s="135"/>
      <c r="BN850" s="139"/>
      <c r="BO850" s="136"/>
      <c r="BQ850" s="148"/>
      <c r="BR850" s="136"/>
      <c r="BS850" s="149"/>
      <c r="BT850" s="136"/>
      <c r="BW850" s="135"/>
      <c r="BX850" s="369"/>
    </row>
    <row r="851" spans="40:76" x14ac:dyDescent="0.2">
      <c r="AN851" s="143"/>
      <c r="AO851" s="143"/>
      <c r="AP851" s="143"/>
      <c r="AQ851" s="143"/>
      <c r="AR851" s="143"/>
      <c r="AS851" s="143"/>
      <c r="AT851" s="143"/>
      <c r="AU851" s="143"/>
      <c r="AW851" s="135"/>
      <c r="AX851" s="135"/>
      <c r="AY851" s="135"/>
      <c r="AZ851" s="135"/>
      <c r="BA851" s="135"/>
      <c r="BB851" s="135"/>
      <c r="BC851" s="135"/>
      <c r="BK851" s="135"/>
      <c r="BN851" s="139"/>
      <c r="BO851" s="136"/>
      <c r="BQ851" s="148"/>
      <c r="BR851" s="136"/>
      <c r="BS851" s="149"/>
      <c r="BT851" s="136"/>
      <c r="BW851" s="135"/>
      <c r="BX851" s="369"/>
    </row>
    <row r="852" spans="40:76" x14ac:dyDescent="0.2">
      <c r="AN852" s="143"/>
      <c r="AO852" s="143"/>
      <c r="AP852" s="143"/>
      <c r="AQ852" s="143"/>
      <c r="AR852" s="143"/>
      <c r="AS852" s="143"/>
      <c r="AT852" s="143"/>
      <c r="AU852" s="143"/>
      <c r="AW852" s="135"/>
      <c r="AX852" s="135"/>
      <c r="AY852" s="135"/>
      <c r="AZ852" s="135"/>
      <c r="BA852" s="135"/>
      <c r="BB852" s="135"/>
      <c r="BC852" s="135"/>
      <c r="BK852" s="135"/>
      <c r="BN852" s="139"/>
      <c r="BO852" s="136"/>
      <c r="BQ852" s="148"/>
      <c r="BR852" s="136"/>
      <c r="BS852" s="149"/>
      <c r="BT852" s="136"/>
      <c r="BW852" s="135"/>
      <c r="BX852" s="365"/>
    </row>
    <row r="853" spans="40:76" x14ac:dyDescent="0.2">
      <c r="AN853" s="143"/>
      <c r="AO853" s="143"/>
      <c r="AP853" s="143"/>
      <c r="AQ853" s="143"/>
      <c r="AR853" s="143"/>
      <c r="AS853" s="143"/>
      <c r="AT853" s="143"/>
      <c r="AU853" s="143"/>
      <c r="AW853" s="135"/>
      <c r="AX853" s="135"/>
      <c r="AY853" s="135"/>
      <c r="AZ853" s="135"/>
      <c r="BA853" s="135"/>
      <c r="BB853" s="135"/>
      <c r="BC853" s="135"/>
      <c r="BK853" s="135"/>
      <c r="BN853" s="139"/>
      <c r="BO853" s="136"/>
      <c r="BQ853" s="148"/>
      <c r="BR853" s="136"/>
      <c r="BS853" s="149"/>
      <c r="BT853" s="136"/>
      <c r="BW853" s="135"/>
      <c r="BX853" s="365"/>
    </row>
    <row r="854" spans="40:76" x14ac:dyDescent="0.2">
      <c r="AN854" s="143"/>
      <c r="AO854" s="143"/>
      <c r="AP854" s="143"/>
      <c r="AQ854" s="143"/>
      <c r="AR854" s="143"/>
      <c r="AS854" s="143"/>
      <c r="AT854" s="143"/>
      <c r="AU854" s="143"/>
      <c r="AW854" s="135"/>
      <c r="AX854" s="135"/>
      <c r="AY854" s="135"/>
      <c r="AZ854" s="135"/>
      <c r="BA854" s="135"/>
      <c r="BB854" s="135"/>
      <c r="BC854" s="135"/>
      <c r="BK854" s="135"/>
      <c r="BN854" s="139"/>
      <c r="BO854" s="136"/>
      <c r="BQ854" s="148"/>
      <c r="BR854" s="136"/>
      <c r="BS854" s="149"/>
      <c r="BT854" s="136"/>
      <c r="BW854" s="135"/>
      <c r="BX854" s="365"/>
    </row>
    <row r="855" spans="40:76" x14ac:dyDescent="0.2">
      <c r="AN855" s="143"/>
      <c r="AO855" s="143"/>
      <c r="AP855" s="143"/>
      <c r="AQ855" s="143"/>
      <c r="AR855" s="143"/>
      <c r="AS855" s="143"/>
      <c r="AT855" s="143"/>
      <c r="AU855" s="143"/>
      <c r="AW855" s="135"/>
      <c r="AX855" s="135"/>
      <c r="AY855" s="135"/>
      <c r="AZ855" s="135"/>
      <c r="BA855" s="135"/>
      <c r="BB855" s="135"/>
      <c r="BC855" s="135"/>
      <c r="BK855" s="135"/>
      <c r="BN855" s="139"/>
      <c r="BO855" s="136"/>
      <c r="BQ855" s="148"/>
      <c r="BR855" s="136"/>
      <c r="BS855" s="149"/>
      <c r="BT855" s="136"/>
      <c r="BW855" s="135"/>
      <c r="BX855" s="365"/>
    </row>
    <row r="856" spans="40:76" x14ac:dyDescent="0.2">
      <c r="AN856" s="143"/>
      <c r="AO856" s="143"/>
      <c r="AP856" s="143"/>
      <c r="AQ856" s="143"/>
      <c r="AR856" s="143"/>
      <c r="AS856" s="143"/>
      <c r="AT856" s="143"/>
      <c r="AU856" s="143"/>
      <c r="AW856" s="135"/>
      <c r="AX856" s="135"/>
      <c r="AY856" s="135"/>
      <c r="AZ856" s="135"/>
      <c r="BA856" s="135"/>
      <c r="BB856" s="135"/>
      <c r="BC856" s="135"/>
      <c r="BK856" s="135"/>
      <c r="BN856" s="139"/>
      <c r="BO856" s="136"/>
      <c r="BQ856" s="148"/>
      <c r="BR856" s="136"/>
      <c r="BS856" s="149"/>
      <c r="BT856" s="136"/>
      <c r="BW856" s="135"/>
      <c r="BX856" s="369"/>
    </row>
    <row r="857" spans="40:76" x14ac:dyDescent="0.2">
      <c r="AN857" s="143"/>
      <c r="AO857" s="143"/>
      <c r="AP857" s="143"/>
      <c r="AQ857" s="143"/>
      <c r="AR857" s="143"/>
      <c r="AS857" s="143"/>
      <c r="AT857" s="143"/>
      <c r="AU857" s="143"/>
      <c r="AW857" s="135"/>
      <c r="AX857" s="135"/>
      <c r="AY857" s="135"/>
      <c r="AZ857" s="135"/>
      <c r="BA857" s="135"/>
      <c r="BB857" s="135"/>
      <c r="BC857" s="135"/>
      <c r="BK857" s="135"/>
      <c r="BN857" s="139"/>
      <c r="BO857" s="136"/>
      <c r="BQ857" s="148"/>
      <c r="BR857" s="136"/>
      <c r="BS857" s="149"/>
      <c r="BT857" s="136"/>
      <c r="BW857" s="135"/>
      <c r="BX857" s="369"/>
    </row>
    <row r="858" spans="40:76" x14ac:dyDescent="0.2">
      <c r="AN858" s="143"/>
      <c r="AO858" s="143"/>
      <c r="AP858" s="143"/>
      <c r="AQ858" s="143"/>
      <c r="AR858" s="143"/>
      <c r="AS858" s="143"/>
      <c r="AT858" s="143"/>
      <c r="AU858" s="143"/>
      <c r="AW858" s="135"/>
      <c r="AX858" s="135"/>
      <c r="AY858" s="135"/>
      <c r="AZ858" s="135"/>
      <c r="BA858" s="135"/>
      <c r="BB858" s="135"/>
      <c r="BC858" s="135"/>
      <c r="BK858" s="135"/>
      <c r="BN858" s="139"/>
      <c r="BO858" s="136"/>
      <c r="BQ858" s="148"/>
      <c r="BR858" s="136"/>
      <c r="BS858" s="149"/>
      <c r="BT858" s="136"/>
      <c r="BW858" s="135"/>
      <c r="BX858" s="369"/>
    </row>
    <row r="859" spans="40:76" x14ac:dyDescent="0.2">
      <c r="AN859" s="143"/>
      <c r="AO859" s="143"/>
      <c r="AP859" s="143"/>
      <c r="AQ859" s="143"/>
      <c r="AR859" s="143"/>
      <c r="AS859" s="143"/>
      <c r="AT859" s="143"/>
      <c r="AU859" s="143"/>
      <c r="AW859" s="135"/>
      <c r="AX859" s="135"/>
      <c r="AY859" s="135"/>
      <c r="AZ859" s="135"/>
      <c r="BA859" s="135"/>
      <c r="BB859" s="135"/>
      <c r="BC859" s="135"/>
      <c r="BK859" s="135"/>
      <c r="BN859" s="139"/>
      <c r="BO859" s="136"/>
      <c r="BQ859" s="148"/>
      <c r="BR859" s="136"/>
      <c r="BS859" s="149"/>
      <c r="BT859" s="136"/>
      <c r="BW859" s="135"/>
      <c r="BX859" s="369"/>
    </row>
    <row r="860" spans="40:76" x14ac:dyDescent="0.2">
      <c r="AN860" s="143"/>
      <c r="AO860" s="143"/>
      <c r="AP860" s="143"/>
      <c r="AQ860" s="143"/>
      <c r="AR860" s="143"/>
      <c r="AS860" s="143"/>
      <c r="AT860" s="143"/>
      <c r="AU860" s="143"/>
      <c r="AW860" s="135"/>
      <c r="AX860" s="135"/>
      <c r="AY860" s="135"/>
      <c r="AZ860" s="135"/>
      <c r="BA860" s="135"/>
      <c r="BB860" s="135"/>
      <c r="BC860" s="135"/>
      <c r="BK860" s="135"/>
      <c r="BN860" s="139"/>
      <c r="BO860" s="136"/>
      <c r="BQ860" s="148"/>
      <c r="BR860" s="136"/>
      <c r="BS860" s="149"/>
      <c r="BT860" s="136"/>
      <c r="BW860" s="135"/>
      <c r="BX860" s="369"/>
    </row>
    <row r="861" spans="40:76" x14ac:dyDescent="0.2">
      <c r="AN861" s="143"/>
      <c r="AO861" s="143"/>
      <c r="AP861" s="143"/>
      <c r="AQ861" s="143"/>
      <c r="AR861" s="143"/>
      <c r="AS861" s="143"/>
      <c r="AT861" s="143"/>
      <c r="AU861" s="143"/>
      <c r="AW861" s="135"/>
      <c r="AX861" s="135"/>
      <c r="AY861" s="135"/>
      <c r="AZ861" s="135"/>
      <c r="BA861" s="135"/>
      <c r="BB861" s="135"/>
      <c r="BC861" s="135"/>
      <c r="BK861" s="135"/>
      <c r="BN861" s="139"/>
      <c r="BO861" s="136"/>
      <c r="BQ861" s="148"/>
      <c r="BR861" s="136"/>
      <c r="BS861" s="149"/>
      <c r="BT861" s="136"/>
      <c r="BW861" s="135"/>
      <c r="BX861" s="369"/>
    </row>
    <row r="862" spans="40:76" x14ac:dyDescent="0.2">
      <c r="AN862" s="143"/>
      <c r="AO862" s="143"/>
      <c r="AP862" s="143"/>
      <c r="AQ862" s="143"/>
      <c r="AR862" s="143"/>
      <c r="AS862" s="143"/>
      <c r="AT862" s="143"/>
      <c r="AU862" s="143"/>
      <c r="AW862" s="135"/>
      <c r="AX862" s="135"/>
      <c r="AY862" s="135"/>
      <c r="AZ862" s="135"/>
      <c r="BA862" s="135"/>
      <c r="BB862" s="135"/>
      <c r="BC862" s="135"/>
      <c r="BK862" s="135"/>
      <c r="BN862" s="139"/>
      <c r="BO862" s="136"/>
      <c r="BQ862" s="148"/>
      <c r="BR862" s="136"/>
      <c r="BS862" s="149"/>
      <c r="BT862" s="136"/>
      <c r="BW862" s="135"/>
      <c r="BX862" s="369"/>
    </row>
    <row r="863" spans="40:76" x14ac:dyDescent="0.2">
      <c r="AN863" s="143"/>
      <c r="AO863" s="143"/>
      <c r="AP863" s="143"/>
      <c r="AQ863" s="143"/>
      <c r="AR863" s="143"/>
      <c r="AS863" s="143"/>
      <c r="AT863" s="143"/>
      <c r="AU863" s="143"/>
      <c r="AW863" s="135"/>
      <c r="AX863" s="135"/>
      <c r="AY863" s="135"/>
      <c r="AZ863" s="135"/>
      <c r="BA863" s="135"/>
      <c r="BB863" s="135"/>
      <c r="BC863" s="135"/>
      <c r="BK863" s="135"/>
      <c r="BN863" s="139"/>
      <c r="BO863" s="136"/>
      <c r="BQ863" s="148"/>
      <c r="BR863" s="136"/>
      <c r="BS863" s="149"/>
      <c r="BT863" s="136"/>
      <c r="BW863" s="135"/>
      <c r="BX863" s="369"/>
    </row>
    <row r="864" spans="40:76" x14ac:dyDescent="0.2">
      <c r="AN864" s="143"/>
      <c r="AO864" s="143"/>
      <c r="AP864" s="143"/>
      <c r="AQ864" s="143"/>
      <c r="AR864" s="143"/>
      <c r="AS864" s="143"/>
      <c r="AT864" s="143"/>
      <c r="AU864" s="143"/>
      <c r="AW864" s="135"/>
      <c r="AX864" s="135"/>
      <c r="AY864" s="135"/>
      <c r="AZ864" s="135"/>
      <c r="BA864" s="135"/>
      <c r="BB864" s="135"/>
      <c r="BC864" s="135"/>
      <c r="BK864" s="135"/>
      <c r="BN864" s="139"/>
      <c r="BO864" s="136"/>
      <c r="BQ864" s="148"/>
      <c r="BR864" s="136"/>
      <c r="BS864" s="149"/>
      <c r="BT864" s="136"/>
      <c r="BW864" s="135"/>
      <c r="BX864" s="369"/>
    </row>
    <row r="865" spans="40:76" x14ac:dyDescent="0.2">
      <c r="AN865" s="143"/>
      <c r="AO865" s="143"/>
      <c r="AP865" s="143"/>
      <c r="AQ865" s="143"/>
      <c r="AR865" s="143"/>
      <c r="AS865" s="143"/>
      <c r="AT865" s="143"/>
      <c r="AU865" s="143"/>
      <c r="AW865" s="135"/>
      <c r="AX865" s="135"/>
      <c r="AY865" s="135"/>
      <c r="AZ865" s="135"/>
      <c r="BA865" s="135"/>
      <c r="BB865" s="135"/>
      <c r="BC865" s="135"/>
      <c r="BK865" s="135"/>
      <c r="BN865" s="139"/>
      <c r="BO865" s="136"/>
      <c r="BQ865" s="148"/>
      <c r="BR865" s="136"/>
      <c r="BS865" s="149"/>
      <c r="BT865" s="136"/>
      <c r="BW865" s="135"/>
      <c r="BX865" s="369"/>
    </row>
    <row r="866" spans="40:76" x14ac:dyDescent="0.2">
      <c r="AN866" s="143"/>
      <c r="AO866" s="143"/>
      <c r="AP866" s="143"/>
      <c r="AQ866" s="143"/>
      <c r="AR866" s="143"/>
      <c r="AS866" s="143"/>
      <c r="AT866" s="143"/>
      <c r="AU866" s="143"/>
      <c r="AW866" s="135"/>
      <c r="AX866" s="135"/>
      <c r="AY866" s="135"/>
      <c r="AZ866" s="135"/>
      <c r="BA866" s="135"/>
      <c r="BB866" s="135"/>
      <c r="BC866" s="135"/>
      <c r="BK866" s="135"/>
      <c r="BN866" s="139"/>
      <c r="BO866" s="136"/>
      <c r="BQ866" s="148"/>
      <c r="BR866" s="136"/>
      <c r="BS866" s="149"/>
      <c r="BT866" s="136"/>
      <c r="BW866" s="135"/>
      <c r="BX866" s="369"/>
    </row>
    <row r="867" spans="40:76" x14ac:dyDescent="0.2">
      <c r="AN867" s="143"/>
      <c r="AO867" s="143"/>
      <c r="AP867" s="143"/>
      <c r="AQ867" s="143"/>
      <c r="AR867" s="143"/>
      <c r="AS867" s="143"/>
      <c r="AT867" s="143"/>
      <c r="AU867" s="143"/>
      <c r="AW867" s="135"/>
      <c r="AX867" s="135"/>
      <c r="AY867" s="135"/>
      <c r="AZ867" s="135"/>
      <c r="BA867" s="135"/>
      <c r="BB867" s="135"/>
      <c r="BC867" s="135"/>
      <c r="BK867" s="135"/>
      <c r="BN867" s="139"/>
      <c r="BO867" s="136"/>
      <c r="BQ867" s="148"/>
      <c r="BR867" s="136"/>
      <c r="BS867" s="149"/>
      <c r="BT867" s="136"/>
      <c r="BW867" s="135"/>
      <c r="BX867" s="369"/>
    </row>
    <row r="868" spans="40:76" x14ac:dyDescent="0.2">
      <c r="AN868" s="143"/>
      <c r="AO868" s="143"/>
      <c r="AP868" s="143"/>
      <c r="AQ868" s="143"/>
      <c r="AR868" s="143"/>
      <c r="AS868" s="143"/>
      <c r="AT868" s="143"/>
      <c r="AU868" s="143"/>
      <c r="AW868" s="135"/>
      <c r="AX868" s="135"/>
      <c r="AY868" s="135"/>
      <c r="AZ868" s="135"/>
      <c r="BA868" s="135"/>
      <c r="BB868" s="135"/>
      <c r="BC868" s="135"/>
      <c r="BK868" s="135"/>
      <c r="BN868" s="139"/>
      <c r="BO868" s="136"/>
      <c r="BQ868" s="148"/>
      <c r="BR868" s="136"/>
      <c r="BS868" s="149"/>
      <c r="BT868" s="136"/>
      <c r="BW868" s="135"/>
      <c r="BX868" s="369"/>
    </row>
    <row r="869" spans="40:76" x14ac:dyDescent="0.2">
      <c r="AN869" s="143"/>
      <c r="AO869" s="143"/>
      <c r="AP869" s="143"/>
      <c r="AQ869" s="143"/>
      <c r="AR869" s="143"/>
      <c r="AS869" s="143"/>
      <c r="AT869" s="143"/>
      <c r="AU869" s="143"/>
      <c r="AW869" s="135"/>
      <c r="AX869" s="135"/>
      <c r="AY869" s="135"/>
      <c r="AZ869" s="135"/>
      <c r="BA869" s="135"/>
      <c r="BB869" s="135"/>
      <c r="BC869" s="135"/>
      <c r="BK869" s="135"/>
      <c r="BN869" s="139"/>
      <c r="BO869" s="136"/>
      <c r="BQ869" s="148"/>
      <c r="BR869" s="136"/>
      <c r="BS869" s="149"/>
      <c r="BT869" s="136"/>
      <c r="BW869" s="135"/>
      <c r="BX869" s="369"/>
    </row>
    <row r="870" spans="40:76" x14ac:dyDescent="0.2">
      <c r="AN870" s="143"/>
      <c r="AO870" s="143"/>
      <c r="AP870" s="143"/>
      <c r="AQ870" s="143"/>
      <c r="AR870" s="143"/>
      <c r="AS870" s="143"/>
      <c r="AT870" s="143"/>
      <c r="AU870" s="143"/>
      <c r="AW870" s="135"/>
      <c r="AX870" s="135"/>
      <c r="AY870" s="135"/>
      <c r="AZ870" s="135"/>
      <c r="BA870" s="135"/>
      <c r="BB870" s="135"/>
      <c r="BC870" s="135"/>
      <c r="BK870" s="135"/>
      <c r="BN870" s="139"/>
      <c r="BO870" s="136"/>
      <c r="BQ870" s="148"/>
      <c r="BR870" s="136"/>
      <c r="BS870" s="149"/>
      <c r="BT870" s="136"/>
      <c r="BW870" s="135"/>
      <c r="BX870" s="369"/>
    </row>
    <row r="871" spans="40:76" x14ac:dyDescent="0.2">
      <c r="AN871" s="143"/>
      <c r="AO871" s="143"/>
      <c r="AP871" s="143"/>
      <c r="AQ871" s="143"/>
      <c r="AR871" s="143"/>
      <c r="AS871" s="143"/>
      <c r="AT871" s="143"/>
      <c r="AU871" s="143"/>
      <c r="AW871" s="135"/>
      <c r="AX871" s="135"/>
      <c r="AY871" s="135"/>
      <c r="AZ871" s="135"/>
      <c r="BA871" s="135"/>
      <c r="BB871" s="135"/>
      <c r="BC871" s="135"/>
      <c r="BK871" s="135"/>
      <c r="BN871" s="139"/>
      <c r="BO871" s="136"/>
      <c r="BQ871" s="148"/>
      <c r="BR871" s="136"/>
      <c r="BS871" s="149"/>
      <c r="BT871" s="136"/>
      <c r="BW871" s="135"/>
      <c r="BX871" s="369"/>
    </row>
    <row r="872" spans="40:76" x14ac:dyDescent="0.2">
      <c r="AN872" s="143"/>
      <c r="AO872" s="143"/>
      <c r="AP872" s="143"/>
      <c r="AQ872" s="143"/>
      <c r="AR872" s="143"/>
      <c r="AS872" s="143"/>
      <c r="AT872" s="143"/>
      <c r="AU872" s="143"/>
      <c r="AW872" s="135"/>
      <c r="AX872" s="135"/>
      <c r="AY872" s="135"/>
      <c r="AZ872" s="135"/>
      <c r="BA872" s="135"/>
      <c r="BB872" s="135"/>
      <c r="BC872" s="135"/>
      <c r="BK872" s="135"/>
      <c r="BN872" s="139"/>
      <c r="BO872" s="136"/>
      <c r="BQ872" s="148"/>
      <c r="BR872" s="136"/>
      <c r="BS872" s="149"/>
      <c r="BT872" s="136"/>
      <c r="BW872" s="135"/>
      <c r="BX872" s="369"/>
    </row>
    <row r="873" spans="40:76" x14ac:dyDescent="0.2">
      <c r="AN873" s="143"/>
      <c r="AO873" s="143"/>
      <c r="AP873" s="143"/>
      <c r="AQ873" s="143"/>
      <c r="AR873" s="143"/>
      <c r="AS873" s="143"/>
      <c r="AT873" s="143"/>
      <c r="AU873" s="143"/>
      <c r="AW873" s="135"/>
      <c r="AX873" s="135"/>
      <c r="AY873" s="135"/>
      <c r="AZ873" s="135"/>
      <c r="BA873" s="135"/>
      <c r="BB873" s="135"/>
      <c r="BC873" s="135"/>
      <c r="BK873" s="135"/>
      <c r="BN873" s="139"/>
      <c r="BO873" s="136"/>
      <c r="BQ873" s="148"/>
      <c r="BR873" s="136"/>
      <c r="BS873" s="149"/>
      <c r="BT873" s="136"/>
      <c r="BW873" s="135"/>
      <c r="BX873" s="365"/>
    </row>
    <row r="874" spans="40:76" x14ac:dyDescent="0.2">
      <c r="AN874" s="143"/>
      <c r="AO874" s="143"/>
      <c r="AP874" s="143"/>
      <c r="AQ874" s="143"/>
      <c r="AR874" s="143"/>
      <c r="AS874" s="143"/>
      <c r="AT874" s="143"/>
      <c r="AU874" s="143"/>
      <c r="AW874" s="135"/>
      <c r="AX874" s="135"/>
      <c r="AY874" s="135"/>
      <c r="AZ874" s="135"/>
      <c r="BA874" s="135"/>
      <c r="BB874" s="135"/>
      <c r="BC874" s="135"/>
      <c r="BK874" s="135"/>
      <c r="BN874" s="139"/>
      <c r="BO874" s="136"/>
      <c r="BQ874" s="148"/>
      <c r="BR874" s="136"/>
      <c r="BS874" s="149"/>
      <c r="BT874" s="136"/>
      <c r="BW874" s="135"/>
      <c r="BX874" s="365"/>
    </row>
    <row r="875" spans="40:76" x14ac:dyDescent="0.2">
      <c r="AN875" s="143"/>
      <c r="AO875" s="143"/>
      <c r="AP875" s="143"/>
      <c r="AQ875" s="143"/>
      <c r="AR875" s="143"/>
      <c r="AS875" s="143"/>
      <c r="AT875" s="143"/>
      <c r="AU875" s="143"/>
      <c r="AW875" s="135"/>
      <c r="AX875" s="135"/>
      <c r="AY875" s="135"/>
      <c r="AZ875" s="135"/>
      <c r="BA875" s="135"/>
      <c r="BB875" s="135"/>
      <c r="BC875" s="135"/>
      <c r="BK875" s="135"/>
      <c r="BN875" s="139"/>
      <c r="BO875" s="136"/>
      <c r="BQ875" s="148"/>
      <c r="BR875" s="136"/>
      <c r="BS875" s="149"/>
      <c r="BT875" s="136"/>
      <c r="BW875" s="135"/>
      <c r="BX875" s="365"/>
    </row>
    <row r="876" spans="40:76" x14ac:dyDescent="0.2">
      <c r="AN876" s="143"/>
      <c r="AO876" s="143"/>
      <c r="AP876" s="143"/>
      <c r="AQ876" s="143"/>
      <c r="AR876" s="143"/>
      <c r="AS876" s="143"/>
      <c r="AT876" s="143"/>
      <c r="AU876" s="143"/>
      <c r="AW876" s="135"/>
      <c r="AX876" s="135"/>
      <c r="AY876" s="135"/>
      <c r="AZ876" s="135"/>
      <c r="BA876" s="135"/>
      <c r="BB876" s="135"/>
      <c r="BC876" s="135"/>
      <c r="BK876" s="135"/>
      <c r="BN876" s="139"/>
      <c r="BO876" s="136"/>
      <c r="BQ876" s="148"/>
      <c r="BR876" s="136"/>
      <c r="BS876" s="149"/>
      <c r="BT876" s="136"/>
      <c r="BW876" s="135"/>
      <c r="BX876" s="365"/>
    </row>
    <row r="877" spans="40:76" x14ac:dyDescent="0.2">
      <c r="AN877" s="143"/>
      <c r="AO877" s="143"/>
      <c r="AP877" s="143"/>
      <c r="AQ877" s="143"/>
      <c r="AR877" s="143"/>
      <c r="AS877" s="143"/>
      <c r="AT877" s="143"/>
      <c r="AU877" s="143"/>
      <c r="AW877" s="135"/>
      <c r="AX877" s="135"/>
      <c r="AY877" s="135"/>
      <c r="AZ877" s="135"/>
      <c r="BA877" s="135"/>
      <c r="BB877" s="135"/>
      <c r="BC877" s="135"/>
      <c r="BK877" s="135"/>
      <c r="BN877" s="139"/>
      <c r="BO877" s="136"/>
      <c r="BQ877" s="148"/>
      <c r="BR877" s="136"/>
      <c r="BS877" s="149"/>
      <c r="BT877" s="136"/>
      <c r="BW877" s="135"/>
      <c r="BX877" s="365"/>
    </row>
    <row r="878" spans="40:76" x14ac:dyDescent="0.2">
      <c r="AN878" s="143"/>
      <c r="AO878" s="143"/>
      <c r="AP878" s="143"/>
      <c r="AQ878" s="143"/>
      <c r="AR878" s="143"/>
      <c r="AS878" s="143"/>
      <c r="AT878" s="143"/>
      <c r="AU878" s="143"/>
      <c r="AW878" s="135"/>
      <c r="AX878" s="135"/>
      <c r="AY878" s="135"/>
      <c r="AZ878" s="135"/>
      <c r="BA878" s="135"/>
      <c r="BB878" s="135"/>
      <c r="BC878" s="135"/>
      <c r="BK878" s="135"/>
      <c r="BN878" s="139"/>
      <c r="BO878" s="136"/>
      <c r="BQ878" s="148"/>
      <c r="BR878" s="136"/>
      <c r="BS878" s="149"/>
      <c r="BT878" s="136"/>
      <c r="BW878" s="135"/>
      <c r="BX878" s="365"/>
    </row>
    <row r="879" spans="40:76" x14ac:dyDescent="0.2">
      <c r="AN879" s="143"/>
      <c r="AO879" s="143"/>
      <c r="AP879" s="143"/>
      <c r="AQ879" s="143"/>
      <c r="AR879" s="143"/>
      <c r="AS879" s="143"/>
      <c r="AT879" s="143"/>
      <c r="AU879" s="143"/>
      <c r="AW879" s="135"/>
      <c r="AX879" s="135"/>
      <c r="AY879" s="135"/>
      <c r="AZ879" s="135"/>
      <c r="BA879" s="135"/>
      <c r="BB879" s="135"/>
      <c r="BC879" s="135"/>
      <c r="BK879" s="135"/>
      <c r="BN879" s="139"/>
      <c r="BO879" s="136"/>
      <c r="BQ879" s="148"/>
      <c r="BR879" s="136"/>
      <c r="BS879" s="149"/>
      <c r="BT879" s="136"/>
      <c r="BW879" s="135"/>
      <c r="BX879" s="365"/>
    </row>
    <row r="880" spans="40:76" x14ac:dyDescent="0.2">
      <c r="AN880" s="143"/>
      <c r="AO880" s="143"/>
      <c r="AP880" s="143"/>
      <c r="AQ880" s="143"/>
      <c r="AR880" s="143"/>
      <c r="AS880" s="143"/>
      <c r="AT880" s="143"/>
      <c r="AU880" s="143"/>
      <c r="AW880" s="135"/>
      <c r="AX880" s="135"/>
      <c r="AY880" s="135"/>
      <c r="AZ880" s="135"/>
      <c r="BA880" s="135"/>
      <c r="BB880" s="135"/>
      <c r="BC880" s="135"/>
      <c r="BK880" s="135"/>
      <c r="BN880" s="139"/>
      <c r="BO880" s="136"/>
      <c r="BQ880" s="148"/>
      <c r="BR880" s="136"/>
      <c r="BS880" s="149"/>
      <c r="BT880" s="136"/>
      <c r="BW880" s="135"/>
      <c r="BX880" s="365"/>
    </row>
    <row r="881" spans="40:76" x14ac:dyDescent="0.2">
      <c r="AN881" s="361"/>
      <c r="AO881" s="361"/>
      <c r="AP881" s="361"/>
      <c r="AQ881" s="361"/>
      <c r="AR881" s="361"/>
      <c r="AS881" s="361"/>
      <c r="AT881" s="361"/>
      <c r="AU881" s="361"/>
      <c r="AW881" s="135"/>
      <c r="AX881" s="135"/>
      <c r="AY881" s="135"/>
      <c r="AZ881" s="135"/>
      <c r="BA881" s="135"/>
      <c r="BB881" s="135"/>
      <c r="BC881" s="135"/>
      <c r="BK881" s="135"/>
      <c r="BN881" s="139"/>
      <c r="BO881" s="136"/>
      <c r="BQ881" s="148"/>
      <c r="BR881" s="136"/>
      <c r="BS881" s="149"/>
      <c r="BT881" s="136"/>
      <c r="BW881" s="135"/>
      <c r="BX881" s="365"/>
    </row>
    <row r="882" spans="40:76" x14ac:dyDescent="0.2">
      <c r="AN882" s="241"/>
      <c r="AO882" s="241"/>
      <c r="AP882" s="241"/>
      <c r="AQ882" s="241"/>
      <c r="AR882" s="241"/>
      <c r="AS882" s="241"/>
      <c r="AT882" s="241"/>
      <c r="AU882" s="241"/>
      <c r="AW882" s="135"/>
      <c r="AX882" s="135"/>
      <c r="AY882" s="135"/>
      <c r="AZ882" s="135"/>
      <c r="BA882" s="135"/>
      <c r="BB882" s="135"/>
      <c r="BC882" s="135"/>
      <c r="BK882" s="135"/>
      <c r="BN882" s="139"/>
      <c r="BO882" s="136"/>
      <c r="BQ882" s="148"/>
      <c r="BR882" s="136"/>
      <c r="BS882" s="149"/>
      <c r="BT882" s="136"/>
      <c r="BW882" s="135"/>
      <c r="BX882" s="365"/>
    </row>
    <row r="883" spans="40:76" x14ac:dyDescent="0.2">
      <c r="AN883" s="143"/>
      <c r="AO883" s="143"/>
      <c r="AP883" s="143"/>
      <c r="AQ883" s="143"/>
      <c r="AR883" s="143"/>
      <c r="AS883" s="143"/>
      <c r="AT883" s="143"/>
      <c r="AU883" s="143"/>
      <c r="AW883" s="135"/>
      <c r="AX883" s="135"/>
      <c r="AY883" s="135"/>
      <c r="AZ883" s="135"/>
      <c r="BA883" s="135"/>
      <c r="BB883" s="135"/>
      <c r="BC883" s="135"/>
      <c r="BK883" s="135"/>
      <c r="BN883" s="139"/>
      <c r="BO883" s="136"/>
      <c r="BQ883" s="148"/>
      <c r="BR883" s="136"/>
      <c r="BS883" s="149"/>
      <c r="BT883" s="136"/>
      <c r="BW883" s="135"/>
      <c r="BX883" s="365"/>
    </row>
    <row r="884" spans="40:76" x14ac:dyDescent="0.2">
      <c r="AN884" s="143"/>
      <c r="AO884" s="143"/>
      <c r="AP884" s="143"/>
      <c r="AQ884" s="143"/>
      <c r="AR884" s="143"/>
      <c r="AS884" s="143"/>
      <c r="AT884" s="143"/>
      <c r="AU884" s="143"/>
      <c r="AW884" s="135"/>
      <c r="AX884" s="135"/>
      <c r="AY884" s="135"/>
      <c r="AZ884" s="135"/>
      <c r="BA884" s="135"/>
      <c r="BB884" s="135"/>
      <c r="BC884" s="135"/>
      <c r="BK884" s="135"/>
      <c r="BN884" s="139"/>
      <c r="BO884" s="136"/>
      <c r="BQ884" s="148"/>
      <c r="BR884" s="136"/>
      <c r="BS884" s="149"/>
      <c r="BT884" s="136"/>
      <c r="BW884" s="135"/>
      <c r="BX884" s="365"/>
    </row>
    <row r="885" spans="40:76" x14ac:dyDescent="0.2">
      <c r="AN885" s="143"/>
      <c r="AO885" s="143"/>
      <c r="AP885" s="143"/>
      <c r="AQ885" s="143"/>
      <c r="AR885" s="143"/>
      <c r="AS885" s="143"/>
      <c r="AT885" s="143"/>
      <c r="AU885" s="143"/>
      <c r="AW885" s="135"/>
      <c r="AX885" s="135"/>
      <c r="AY885" s="135"/>
      <c r="AZ885" s="135"/>
      <c r="BA885" s="135"/>
      <c r="BB885" s="135"/>
      <c r="BC885" s="135"/>
      <c r="BK885" s="135"/>
      <c r="BN885" s="139"/>
      <c r="BO885" s="136"/>
      <c r="BQ885" s="148"/>
      <c r="BR885" s="136"/>
      <c r="BS885" s="149"/>
      <c r="BT885" s="136"/>
      <c r="BW885" s="135"/>
      <c r="BX885" s="365"/>
    </row>
    <row r="886" spans="40:76" x14ac:dyDescent="0.2">
      <c r="AN886" s="143"/>
      <c r="AO886" s="143"/>
      <c r="AP886" s="143"/>
      <c r="AQ886" s="143"/>
      <c r="AR886" s="143"/>
      <c r="AS886" s="143"/>
      <c r="AT886" s="143"/>
      <c r="AU886" s="143"/>
      <c r="AW886" s="135"/>
      <c r="AX886" s="135"/>
      <c r="AY886" s="135"/>
      <c r="AZ886" s="135"/>
      <c r="BA886" s="135"/>
      <c r="BB886" s="135"/>
      <c r="BC886" s="135"/>
      <c r="BK886" s="135"/>
      <c r="BN886" s="139"/>
      <c r="BO886" s="136"/>
      <c r="BQ886" s="148"/>
      <c r="BR886" s="136"/>
      <c r="BS886" s="149"/>
      <c r="BT886" s="136"/>
      <c r="BW886" s="135"/>
      <c r="BX886" s="365"/>
    </row>
    <row r="887" spans="40:76" x14ac:dyDescent="0.2">
      <c r="AN887" s="143"/>
      <c r="AO887" s="143"/>
      <c r="AP887" s="143"/>
      <c r="AQ887" s="143"/>
      <c r="AR887" s="143"/>
      <c r="AS887" s="143"/>
      <c r="AT887" s="143"/>
      <c r="AU887" s="143"/>
      <c r="AW887" s="135"/>
      <c r="AX887" s="135"/>
      <c r="AY887" s="135"/>
      <c r="AZ887" s="135"/>
      <c r="BA887" s="135"/>
      <c r="BB887" s="135"/>
      <c r="BC887" s="135"/>
      <c r="BK887" s="135"/>
      <c r="BN887" s="139"/>
      <c r="BO887" s="136"/>
      <c r="BQ887" s="148"/>
      <c r="BR887" s="136"/>
      <c r="BS887" s="149"/>
      <c r="BT887" s="136"/>
      <c r="BW887" s="135"/>
      <c r="BX887" s="365"/>
    </row>
    <row r="888" spans="40:76" x14ac:dyDescent="0.2">
      <c r="AN888" s="143"/>
      <c r="AO888" s="143"/>
      <c r="AP888" s="143"/>
      <c r="AQ888" s="143"/>
      <c r="AR888" s="143"/>
      <c r="AS888" s="143"/>
      <c r="AT888" s="143"/>
      <c r="AU888" s="143"/>
      <c r="AW888" s="135"/>
      <c r="AX888" s="135"/>
      <c r="AY888" s="135"/>
      <c r="AZ888" s="135"/>
      <c r="BA888" s="135"/>
      <c r="BB888" s="135"/>
      <c r="BC888" s="135"/>
      <c r="BK888" s="135"/>
      <c r="BN888" s="139"/>
      <c r="BO888" s="136"/>
      <c r="BQ888" s="148"/>
      <c r="BR888" s="136"/>
      <c r="BS888" s="149"/>
      <c r="BT888" s="136"/>
      <c r="BW888" s="135"/>
      <c r="BX888" s="365"/>
    </row>
    <row r="889" spans="40:76" x14ac:dyDescent="0.2">
      <c r="AN889" s="143"/>
      <c r="AO889" s="143"/>
      <c r="AP889" s="143"/>
      <c r="AQ889" s="143"/>
      <c r="AR889" s="143"/>
      <c r="AS889" s="143"/>
      <c r="AT889" s="143"/>
      <c r="AU889" s="143"/>
      <c r="AW889" s="135"/>
      <c r="AX889" s="135"/>
      <c r="AY889" s="135"/>
      <c r="AZ889" s="135"/>
      <c r="BA889" s="135"/>
      <c r="BB889" s="135"/>
      <c r="BC889" s="135"/>
      <c r="BK889" s="135"/>
      <c r="BN889" s="139"/>
      <c r="BO889" s="136"/>
      <c r="BQ889" s="148"/>
      <c r="BR889" s="136"/>
      <c r="BS889" s="149"/>
      <c r="BT889" s="136"/>
      <c r="BW889" s="135"/>
      <c r="BX889" s="365"/>
    </row>
    <row r="890" spans="40:76" x14ac:dyDescent="0.2">
      <c r="AN890" s="143"/>
      <c r="AO890" s="143"/>
      <c r="AP890" s="143"/>
      <c r="AQ890" s="143"/>
      <c r="AR890" s="143"/>
      <c r="AS890" s="143"/>
      <c r="AT890" s="143"/>
      <c r="AU890" s="143"/>
      <c r="AW890" s="135"/>
      <c r="AX890" s="135"/>
      <c r="AY890" s="135"/>
      <c r="AZ890" s="135"/>
      <c r="BA890" s="135"/>
      <c r="BB890" s="135"/>
      <c r="BC890" s="135"/>
      <c r="BK890" s="135"/>
      <c r="BN890" s="139"/>
      <c r="BO890" s="136"/>
      <c r="BQ890" s="148"/>
      <c r="BR890" s="136"/>
      <c r="BS890" s="149"/>
      <c r="BT890" s="136"/>
      <c r="BW890" s="135"/>
      <c r="BX890" s="365"/>
    </row>
    <row r="891" spans="40:76" x14ac:dyDescent="0.2">
      <c r="AN891" s="143"/>
      <c r="AO891" s="143"/>
      <c r="AP891" s="143"/>
      <c r="AQ891" s="143"/>
      <c r="AR891" s="143"/>
      <c r="AS891" s="143"/>
      <c r="AT891" s="143"/>
      <c r="AU891" s="143"/>
      <c r="AW891" s="135"/>
      <c r="AX891" s="135"/>
      <c r="AY891" s="135"/>
      <c r="AZ891" s="135"/>
      <c r="BA891" s="135"/>
      <c r="BB891" s="135"/>
      <c r="BC891" s="135"/>
      <c r="BK891" s="135"/>
      <c r="BN891" s="139"/>
      <c r="BO891" s="136"/>
      <c r="BQ891" s="148"/>
      <c r="BR891" s="136"/>
      <c r="BS891" s="149"/>
      <c r="BT891" s="136"/>
      <c r="BW891" s="135"/>
      <c r="BX891" s="365"/>
    </row>
    <row r="892" spans="40:76" x14ac:dyDescent="0.2">
      <c r="AN892" s="143"/>
      <c r="AO892" s="143"/>
      <c r="AP892" s="143"/>
      <c r="AQ892" s="143"/>
      <c r="AR892" s="143"/>
      <c r="AS892" s="143"/>
      <c r="AT892" s="143"/>
      <c r="AU892" s="143"/>
      <c r="AW892" s="135"/>
      <c r="AX892" s="135"/>
      <c r="AY892" s="135"/>
      <c r="AZ892" s="135"/>
      <c r="BA892" s="135"/>
      <c r="BB892" s="135"/>
      <c r="BC892" s="135"/>
      <c r="BK892" s="135"/>
      <c r="BN892" s="139"/>
      <c r="BO892" s="136"/>
      <c r="BQ892" s="148"/>
      <c r="BR892" s="136"/>
      <c r="BS892" s="149"/>
      <c r="BT892" s="136"/>
      <c r="BW892" s="135"/>
      <c r="BX892" s="365"/>
    </row>
    <row r="893" spans="40:76" x14ac:dyDescent="0.2">
      <c r="AN893" s="143"/>
      <c r="AO893" s="143"/>
      <c r="AP893" s="143"/>
      <c r="AQ893" s="143"/>
      <c r="AR893" s="143"/>
      <c r="AS893" s="143"/>
      <c r="AT893" s="143"/>
      <c r="AU893" s="143"/>
      <c r="AW893" s="135"/>
      <c r="AX893" s="135"/>
      <c r="AY893" s="135"/>
      <c r="AZ893" s="135"/>
      <c r="BA893" s="135"/>
      <c r="BB893" s="135"/>
      <c r="BC893" s="135"/>
      <c r="BK893" s="135"/>
      <c r="BN893" s="139"/>
      <c r="BO893" s="136"/>
      <c r="BQ893" s="148"/>
      <c r="BR893" s="136"/>
      <c r="BS893" s="149"/>
      <c r="BT893" s="136"/>
      <c r="BW893" s="135"/>
      <c r="BX893" s="365"/>
    </row>
    <row r="894" spans="40:76" x14ac:dyDescent="0.2">
      <c r="AN894" s="143"/>
      <c r="AO894" s="143"/>
      <c r="AP894" s="143"/>
      <c r="AQ894" s="143"/>
      <c r="AR894" s="143"/>
      <c r="AS894" s="143"/>
      <c r="AT894" s="143"/>
      <c r="AU894" s="143"/>
      <c r="AW894" s="135"/>
      <c r="AX894" s="135"/>
      <c r="AY894" s="135"/>
      <c r="AZ894" s="135"/>
      <c r="BA894" s="135"/>
      <c r="BB894" s="135"/>
      <c r="BC894" s="135"/>
      <c r="BK894" s="135"/>
      <c r="BN894" s="139"/>
      <c r="BO894" s="136"/>
      <c r="BQ894" s="148"/>
      <c r="BR894" s="136"/>
      <c r="BS894" s="149"/>
      <c r="BT894" s="136"/>
      <c r="BW894" s="135"/>
      <c r="BX894" s="365"/>
    </row>
    <row r="895" spans="40:76" x14ac:dyDescent="0.2">
      <c r="AN895" s="143"/>
      <c r="AO895" s="143"/>
      <c r="AP895" s="143"/>
      <c r="AQ895" s="143"/>
      <c r="AR895" s="143"/>
      <c r="AS895" s="143"/>
      <c r="AT895" s="143"/>
      <c r="AU895" s="143"/>
      <c r="AW895" s="135"/>
      <c r="AX895" s="135"/>
      <c r="AY895" s="135"/>
      <c r="AZ895" s="135"/>
      <c r="BA895" s="135"/>
      <c r="BB895" s="135"/>
      <c r="BC895" s="135"/>
      <c r="BK895" s="135"/>
      <c r="BN895" s="139"/>
      <c r="BO895" s="136"/>
      <c r="BQ895" s="148"/>
      <c r="BR895" s="136"/>
      <c r="BS895" s="149"/>
      <c r="BT895" s="136"/>
      <c r="BW895" s="135"/>
      <c r="BX895" s="365"/>
    </row>
    <row r="896" spans="40:76" x14ac:dyDescent="0.2">
      <c r="AN896" s="143"/>
      <c r="AO896" s="143"/>
      <c r="AP896" s="143"/>
      <c r="AQ896" s="143"/>
      <c r="AR896" s="143"/>
      <c r="AS896" s="143"/>
      <c r="AT896" s="143"/>
      <c r="AU896" s="143"/>
      <c r="AW896" s="135"/>
      <c r="AX896" s="135"/>
      <c r="AY896" s="135"/>
      <c r="AZ896" s="135"/>
      <c r="BA896" s="135"/>
      <c r="BB896" s="135"/>
      <c r="BC896" s="135"/>
      <c r="BK896" s="135"/>
      <c r="BN896" s="139"/>
      <c r="BO896" s="136"/>
      <c r="BQ896" s="148"/>
      <c r="BR896" s="136"/>
      <c r="BS896" s="149"/>
      <c r="BT896" s="136"/>
      <c r="BW896" s="135"/>
      <c r="BX896" s="365"/>
    </row>
    <row r="897" spans="40:76" x14ac:dyDescent="0.2">
      <c r="AN897" s="143"/>
      <c r="AO897" s="143"/>
      <c r="AP897" s="143"/>
      <c r="AQ897" s="143"/>
      <c r="AR897" s="143"/>
      <c r="AS897" s="143"/>
      <c r="AT897" s="143"/>
      <c r="AU897" s="143"/>
      <c r="AW897" s="135"/>
      <c r="AX897" s="135"/>
      <c r="AY897" s="135"/>
      <c r="AZ897" s="135"/>
      <c r="BA897" s="135"/>
      <c r="BB897" s="135"/>
      <c r="BC897" s="135"/>
      <c r="BK897" s="135"/>
      <c r="BN897" s="139"/>
      <c r="BO897" s="136"/>
      <c r="BQ897" s="148"/>
      <c r="BR897" s="136"/>
      <c r="BS897" s="149"/>
      <c r="BT897" s="136"/>
      <c r="BW897" s="135"/>
      <c r="BX897" s="365"/>
    </row>
    <row r="898" spans="40:76" x14ac:dyDescent="0.2">
      <c r="AN898" s="143"/>
      <c r="AO898" s="143"/>
      <c r="AP898" s="143"/>
      <c r="AQ898" s="143"/>
      <c r="AR898" s="143"/>
      <c r="AS898" s="143"/>
      <c r="AT898" s="143"/>
      <c r="AU898" s="143"/>
      <c r="AW898" s="135"/>
      <c r="AX898" s="135"/>
      <c r="AY898" s="135"/>
      <c r="AZ898" s="135"/>
      <c r="BA898" s="135"/>
      <c r="BB898" s="135"/>
      <c r="BC898" s="135"/>
      <c r="BK898" s="135"/>
      <c r="BN898" s="139"/>
      <c r="BO898" s="136"/>
      <c r="BQ898" s="148"/>
      <c r="BR898" s="136"/>
      <c r="BS898" s="149"/>
      <c r="BT898" s="136"/>
      <c r="BW898" s="135"/>
      <c r="BX898" s="365"/>
    </row>
    <row r="899" spans="40:76" x14ac:dyDescent="0.2">
      <c r="AN899" s="143"/>
      <c r="AO899" s="143"/>
      <c r="AP899" s="143"/>
      <c r="AQ899" s="143"/>
      <c r="AR899" s="143"/>
      <c r="AS899" s="143"/>
      <c r="AT899" s="143"/>
      <c r="AU899" s="143"/>
      <c r="AW899" s="135"/>
      <c r="AX899" s="135"/>
      <c r="AY899" s="135"/>
      <c r="AZ899" s="135"/>
      <c r="BA899" s="135"/>
      <c r="BB899" s="135"/>
      <c r="BC899" s="135"/>
      <c r="BK899" s="135"/>
      <c r="BN899" s="139"/>
      <c r="BO899" s="136"/>
      <c r="BQ899" s="148"/>
      <c r="BR899" s="136"/>
      <c r="BS899" s="149"/>
      <c r="BT899" s="136"/>
      <c r="BW899" s="135"/>
      <c r="BX899" s="365"/>
    </row>
    <row r="900" spans="40:76" x14ac:dyDescent="0.2">
      <c r="AN900" s="143"/>
      <c r="AO900" s="143"/>
      <c r="AP900" s="143"/>
      <c r="AQ900" s="143"/>
      <c r="AR900" s="143"/>
      <c r="AS900" s="143"/>
      <c r="AT900" s="143"/>
      <c r="AU900" s="143"/>
      <c r="AW900" s="135"/>
      <c r="AX900" s="135"/>
      <c r="AY900" s="135"/>
      <c r="AZ900" s="135"/>
      <c r="BA900" s="135"/>
      <c r="BB900" s="135"/>
      <c r="BC900" s="135"/>
      <c r="BK900" s="135"/>
      <c r="BN900" s="139"/>
      <c r="BO900" s="136"/>
      <c r="BQ900" s="148"/>
      <c r="BR900" s="136"/>
      <c r="BS900" s="149"/>
      <c r="BT900" s="136"/>
      <c r="BW900" s="135"/>
      <c r="BX900" s="365"/>
    </row>
    <row r="901" spans="40:76" x14ac:dyDescent="0.2">
      <c r="AN901" s="143"/>
      <c r="AO901" s="143"/>
      <c r="AP901" s="143"/>
      <c r="AQ901" s="143"/>
      <c r="AR901" s="143"/>
      <c r="AS901" s="143"/>
      <c r="AT901" s="143"/>
      <c r="AU901" s="143"/>
      <c r="AW901" s="135"/>
      <c r="AX901" s="135"/>
      <c r="AY901" s="135"/>
      <c r="AZ901" s="135"/>
      <c r="BA901" s="135"/>
      <c r="BB901" s="135"/>
      <c r="BC901" s="135"/>
      <c r="BK901" s="135"/>
      <c r="BN901" s="139"/>
      <c r="BO901" s="136"/>
      <c r="BQ901" s="148"/>
      <c r="BR901" s="136"/>
      <c r="BS901" s="149"/>
      <c r="BT901" s="136"/>
      <c r="BW901" s="135"/>
      <c r="BX901" s="365"/>
    </row>
    <row r="902" spans="40:76" x14ac:dyDescent="0.2">
      <c r="AN902" s="143"/>
      <c r="AO902" s="143"/>
      <c r="AP902" s="143"/>
      <c r="AQ902" s="143"/>
      <c r="AR902" s="143"/>
      <c r="AS902" s="143"/>
      <c r="AT902" s="143"/>
      <c r="AU902" s="143"/>
      <c r="AW902" s="135"/>
      <c r="AX902" s="135"/>
      <c r="AY902" s="135"/>
      <c r="AZ902" s="135"/>
      <c r="BA902" s="135"/>
      <c r="BB902" s="135"/>
      <c r="BC902" s="135"/>
      <c r="BK902" s="135"/>
      <c r="BN902" s="139"/>
      <c r="BO902" s="136"/>
      <c r="BQ902" s="148"/>
      <c r="BR902" s="136"/>
      <c r="BS902" s="149"/>
      <c r="BT902" s="136"/>
      <c r="BW902" s="135"/>
      <c r="BX902" s="365"/>
    </row>
    <row r="903" spans="40:76" x14ac:dyDescent="0.2">
      <c r="AN903" s="143"/>
      <c r="AO903" s="143"/>
      <c r="AP903" s="143"/>
      <c r="AQ903" s="143"/>
      <c r="AR903" s="143"/>
      <c r="AS903" s="143"/>
      <c r="AT903" s="143"/>
      <c r="AU903" s="143"/>
      <c r="AW903" s="135"/>
      <c r="AX903" s="135"/>
      <c r="AY903" s="135"/>
      <c r="AZ903" s="135"/>
      <c r="BA903" s="135"/>
      <c r="BB903" s="135"/>
      <c r="BC903" s="135"/>
      <c r="BK903" s="135"/>
      <c r="BN903" s="139"/>
      <c r="BO903" s="136"/>
      <c r="BQ903" s="148"/>
      <c r="BR903" s="136"/>
      <c r="BS903" s="149"/>
      <c r="BT903" s="136"/>
      <c r="BW903" s="135"/>
      <c r="BX903" s="365"/>
    </row>
    <row r="904" spans="40:76" x14ac:dyDescent="0.2">
      <c r="AN904" s="143"/>
      <c r="AO904" s="143"/>
      <c r="AP904" s="143"/>
      <c r="AQ904" s="143"/>
      <c r="AR904" s="143"/>
      <c r="AS904" s="143"/>
      <c r="AT904" s="143"/>
      <c r="AU904" s="143"/>
      <c r="AW904" s="135"/>
      <c r="AX904" s="135"/>
      <c r="AY904" s="135"/>
      <c r="AZ904" s="135"/>
      <c r="BA904" s="135"/>
      <c r="BB904" s="135"/>
      <c r="BC904" s="135"/>
      <c r="BK904" s="135"/>
      <c r="BN904" s="139"/>
      <c r="BO904" s="136"/>
      <c r="BQ904" s="148"/>
      <c r="BR904" s="136"/>
      <c r="BS904" s="149"/>
      <c r="BT904" s="136"/>
      <c r="BW904" s="135"/>
      <c r="BX904" s="365"/>
    </row>
    <row r="905" spans="40:76" x14ac:dyDescent="0.2">
      <c r="AN905" s="143"/>
      <c r="AO905" s="143"/>
      <c r="AP905" s="143"/>
      <c r="AQ905" s="143"/>
      <c r="AR905" s="143"/>
      <c r="AS905" s="143"/>
      <c r="AT905" s="143"/>
      <c r="AU905" s="143"/>
      <c r="AW905" s="135"/>
      <c r="AX905" s="135"/>
      <c r="AY905" s="135"/>
      <c r="AZ905" s="135"/>
      <c r="BA905" s="135"/>
      <c r="BB905" s="135"/>
      <c r="BC905" s="135"/>
      <c r="BK905" s="135"/>
      <c r="BN905" s="139"/>
      <c r="BO905" s="136"/>
      <c r="BQ905" s="148"/>
      <c r="BR905" s="136"/>
      <c r="BS905" s="149"/>
      <c r="BT905" s="136"/>
      <c r="BW905" s="135"/>
      <c r="BX905" s="365"/>
    </row>
    <row r="906" spans="40:76" x14ac:dyDescent="0.2">
      <c r="AN906" s="143"/>
      <c r="AO906" s="143"/>
      <c r="AP906" s="143"/>
      <c r="AQ906" s="143"/>
      <c r="AR906" s="143"/>
      <c r="AS906" s="143"/>
      <c r="AT906" s="143"/>
      <c r="AU906" s="143"/>
      <c r="AW906" s="135"/>
      <c r="AX906" s="135"/>
      <c r="AY906" s="135"/>
      <c r="AZ906" s="135"/>
      <c r="BA906" s="135"/>
      <c r="BB906" s="135"/>
      <c r="BC906" s="135"/>
      <c r="BK906" s="135"/>
      <c r="BN906" s="139"/>
      <c r="BO906" s="136"/>
      <c r="BQ906" s="148"/>
      <c r="BR906" s="136"/>
      <c r="BS906" s="149"/>
      <c r="BT906" s="136"/>
      <c r="BW906" s="135"/>
      <c r="BX906" s="365"/>
    </row>
    <row r="907" spans="40:76" x14ac:dyDescent="0.2">
      <c r="AN907" s="143"/>
      <c r="AO907" s="143"/>
      <c r="AP907" s="143"/>
      <c r="AQ907" s="143"/>
      <c r="AR907" s="143"/>
      <c r="AS907" s="143"/>
      <c r="AT907" s="143"/>
      <c r="AU907" s="143"/>
      <c r="AW907" s="135"/>
      <c r="AX907" s="135"/>
      <c r="AY907" s="135"/>
      <c r="AZ907" s="135"/>
      <c r="BA907" s="135"/>
      <c r="BB907" s="135"/>
      <c r="BC907" s="135"/>
      <c r="BK907" s="135"/>
      <c r="BN907" s="139"/>
      <c r="BO907" s="136"/>
      <c r="BQ907" s="148"/>
      <c r="BR907" s="136"/>
      <c r="BS907" s="149"/>
      <c r="BT907" s="136"/>
      <c r="BW907" s="135"/>
      <c r="BX907" s="365"/>
    </row>
    <row r="908" spans="40:76" x14ac:dyDescent="0.2">
      <c r="AN908" s="143"/>
      <c r="AO908" s="143"/>
      <c r="AP908" s="143"/>
      <c r="AQ908" s="143"/>
      <c r="AR908" s="143"/>
      <c r="AS908" s="143"/>
      <c r="AT908" s="143"/>
      <c r="AU908" s="143"/>
      <c r="AW908" s="135"/>
      <c r="AX908" s="135"/>
      <c r="AY908" s="135"/>
      <c r="AZ908" s="135"/>
      <c r="BA908" s="135"/>
      <c r="BB908" s="135"/>
      <c r="BC908" s="135"/>
      <c r="BK908" s="135"/>
      <c r="BN908" s="139"/>
      <c r="BO908" s="136"/>
      <c r="BQ908" s="148"/>
      <c r="BR908" s="136"/>
      <c r="BS908" s="149"/>
      <c r="BT908" s="136"/>
      <c r="BW908" s="135"/>
      <c r="BX908" s="365"/>
    </row>
    <row r="909" spans="40:76" x14ac:dyDescent="0.2">
      <c r="AN909" s="143"/>
      <c r="AO909" s="143"/>
      <c r="AP909" s="143"/>
      <c r="AQ909" s="143"/>
      <c r="AR909" s="143"/>
      <c r="AS909" s="143"/>
      <c r="AT909" s="143"/>
      <c r="AU909" s="143"/>
      <c r="AW909" s="135"/>
      <c r="AX909" s="135"/>
      <c r="AY909" s="135"/>
      <c r="AZ909" s="135"/>
      <c r="BA909" s="135"/>
      <c r="BB909" s="135"/>
      <c r="BC909" s="135"/>
      <c r="BK909" s="135"/>
      <c r="BN909" s="139"/>
      <c r="BO909" s="136"/>
      <c r="BQ909" s="148"/>
      <c r="BR909" s="136"/>
      <c r="BS909" s="149"/>
      <c r="BT909" s="136"/>
      <c r="BW909" s="135"/>
      <c r="BX909" s="365"/>
    </row>
    <row r="910" spans="40:76" x14ac:dyDescent="0.2">
      <c r="AN910" s="143"/>
      <c r="AO910" s="143"/>
      <c r="AP910" s="143"/>
      <c r="AQ910" s="143"/>
      <c r="AR910" s="143"/>
      <c r="AS910" s="143"/>
      <c r="AT910" s="143"/>
      <c r="AU910" s="143"/>
      <c r="AW910" s="135"/>
      <c r="AX910" s="135"/>
      <c r="AY910" s="135"/>
      <c r="AZ910" s="135"/>
      <c r="BA910" s="135"/>
      <c r="BB910" s="135"/>
      <c r="BC910" s="135"/>
      <c r="BK910" s="135"/>
      <c r="BN910" s="139"/>
      <c r="BO910" s="136"/>
      <c r="BQ910" s="148"/>
      <c r="BR910" s="136"/>
      <c r="BS910" s="149"/>
      <c r="BT910" s="136"/>
      <c r="BW910" s="135"/>
      <c r="BX910" s="365"/>
    </row>
    <row r="911" spans="40:76" x14ac:dyDescent="0.2">
      <c r="AN911" s="143"/>
      <c r="AO911" s="143"/>
      <c r="AP911" s="143"/>
      <c r="AQ911" s="143"/>
      <c r="AR911" s="143"/>
      <c r="AS911" s="143"/>
      <c r="AT911" s="143"/>
      <c r="AU911" s="143"/>
      <c r="AW911" s="135"/>
      <c r="AX911" s="135"/>
      <c r="AY911" s="135"/>
      <c r="AZ911" s="135"/>
      <c r="BA911" s="135"/>
      <c r="BB911" s="135"/>
      <c r="BC911" s="135"/>
      <c r="BK911" s="135"/>
      <c r="BN911" s="139"/>
      <c r="BO911" s="136"/>
      <c r="BQ911" s="148"/>
      <c r="BR911" s="136"/>
      <c r="BS911" s="149"/>
      <c r="BT911" s="136"/>
      <c r="BW911" s="135"/>
      <c r="BX911" s="365"/>
    </row>
    <row r="912" spans="40:76" x14ac:dyDescent="0.2">
      <c r="AN912" s="143"/>
      <c r="AO912" s="143"/>
      <c r="AP912" s="143"/>
      <c r="AQ912" s="143"/>
      <c r="AR912" s="143"/>
      <c r="AS912" s="143"/>
      <c r="AT912" s="143"/>
      <c r="AU912" s="143"/>
      <c r="AW912" s="135"/>
      <c r="AX912" s="135"/>
      <c r="AY912" s="135"/>
      <c r="AZ912" s="135"/>
      <c r="BA912" s="135"/>
      <c r="BB912" s="135"/>
      <c r="BC912" s="135"/>
      <c r="BK912" s="135"/>
      <c r="BN912" s="139"/>
      <c r="BO912" s="136"/>
      <c r="BQ912" s="148"/>
      <c r="BR912" s="136"/>
      <c r="BS912" s="149"/>
      <c r="BT912" s="136"/>
      <c r="BW912" s="135"/>
      <c r="BX912" s="365"/>
    </row>
    <row r="913" spans="40:76" x14ac:dyDescent="0.2">
      <c r="AN913" s="143"/>
      <c r="AO913" s="143"/>
      <c r="AP913" s="143"/>
      <c r="AQ913" s="143"/>
      <c r="AR913" s="143"/>
      <c r="AS913" s="143"/>
      <c r="AT913" s="143"/>
      <c r="AU913" s="143"/>
      <c r="AW913" s="135"/>
      <c r="AX913" s="135"/>
      <c r="AY913" s="135"/>
      <c r="AZ913" s="135"/>
      <c r="BA913" s="135"/>
      <c r="BB913" s="135"/>
      <c r="BC913" s="135"/>
      <c r="BK913" s="135"/>
      <c r="BN913" s="139"/>
      <c r="BO913" s="136"/>
      <c r="BQ913" s="148"/>
      <c r="BR913" s="136"/>
      <c r="BS913" s="149"/>
      <c r="BT913" s="136"/>
      <c r="BW913" s="135"/>
      <c r="BX913" s="365"/>
    </row>
    <row r="914" spans="40:76" x14ac:dyDescent="0.2">
      <c r="AN914" s="143"/>
      <c r="AO914" s="143"/>
      <c r="AP914" s="143"/>
      <c r="AQ914" s="143"/>
      <c r="AR914" s="143"/>
      <c r="AS914" s="143"/>
      <c r="AT914" s="143"/>
      <c r="AU914" s="143"/>
      <c r="AW914" s="135"/>
      <c r="AX914" s="135"/>
      <c r="AY914" s="135"/>
      <c r="AZ914" s="135"/>
      <c r="BA914" s="135"/>
      <c r="BB914" s="135"/>
      <c r="BC914" s="135"/>
      <c r="BK914" s="135"/>
      <c r="BN914" s="139"/>
      <c r="BO914" s="136"/>
      <c r="BQ914" s="148"/>
      <c r="BR914" s="136"/>
      <c r="BS914" s="149"/>
      <c r="BT914" s="136"/>
      <c r="BW914" s="135"/>
      <c r="BX914" s="365"/>
    </row>
    <row r="915" spans="40:76" x14ac:dyDescent="0.2">
      <c r="AN915" s="143"/>
      <c r="AO915" s="143"/>
      <c r="AP915" s="143"/>
      <c r="AQ915" s="143"/>
      <c r="AR915" s="143"/>
      <c r="AS915" s="143"/>
      <c r="AT915" s="143"/>
      <c r="AU915" s="143"/>
      <c r="AW915" s="135"/>
      <c r="AX915" s="135"/>
      <c r="AY915" s="135"/>
      <c r="AZ915" s="135"/>
      <c r="BA915" s="135"/>
      <c r="BB915" s="135"/>
      <c r="BC915" s="135"/>
      <c r="BK915" s="135"/>
      <c r="BN915" s="139"/>
      <c r="BO915" s="136"/>
      <c r="BQ915" s="148"/>
      <c r="BR915" s="136"/>
      <c r="BS915" s="149"/>
      <c r="BT915" s="136"/>
      <c r="BW915" s="135"/>
    </row>
    <row r="916" spans="40:76" x14ac:dyDescent="0.2">
      <c r="AN916" s="143"/>
      <c r="AO916" s="143"/>
      <c r="AP916" s="143"/>
      <c r="AQ916" s="143"/>
      <c r="AR916" s="143"/>
      <c r="AS916" s="143"/>
      <c r="AT916" s="143"/>
      <c r="AU916" s="143"/>
      <c r="AW916" s="135"/>
      <c r="AX916" s="135"/>
      <c r="AY916" s="135"/>
      <c r="AZ916" s="135"/>
      <c r="BA916" s="135"/>
      <c r="BB916" s="135"/>
      <c r="BC916" s="135"/>
      <c r="BK916" s="135"/>
      <c r="BN916" s="139"/>
      <c r="BO916" s="136"/>
      <c r="BQ916" s="148"/>
      <c r="BR916" s="136"/>
      <c r="BS916" s="149"/>
      <c r="BT916" s="136"/>
      <c r="BW916" s="135"/>
    </row>
    <row r="917" spans="40:76" x14ac:dyDescent="0.2">
      <c r="AN917" s="143"/>
      <c r="AO917" s="143"/>
      <c r="AP917" s="143"/>
      <c r="AQ917" s="143"/>
      <c r="AR917" s="143"/>
      <c r="AS917" s="143"/>
      <c r="AT917" s="143"/>
      <c r="AU917" s="143"/>
      <c r="AW917" s="135"/>
      <c r="AX917" s="135"/>
      <c r="AY917" s="135"/>
      <c r="AZ917" s="135"/>
      <c r="BA917" s="135"/>
      <c r="BB917" s="135"/>
      <c r="BC917" s="135"/>
      <c r="BK917" s="135"/>
      <c r="BN917" s="139"/>
      <c r="BO917" s="136"/>
      <c r="BQ917" s="148"/>
      <c r="BR917" s="136"/>
      <c r="BS917" s="149"/>
      <c r="BT917" s="136"/>
      <c r="BW917" s="135"/>
    </row>
    <row r="918" spans="40:76" x14ac:dyDescent="0.2">
      <c r="AN918" s="143"/>
      <c r="AO918" s="143"/>
      <c r="AP918" s="143"/>
      <c r="AQ918" s="143"/>
      <c r="AR918" s="143"/>
      <c r="AS918" s="143"/>
      <c r="AT918" s="143"/>
      <c r="AU918" s="143"/>
      <c r="AW918" s="135"/>
      <c r="AX918" s="135"/>
      <c r="AY918" s="135"/>
      <c r="AZ918" s="135"/>
      <c r="BA918" s="135"/>
      <c r="BB918" s="135"/>
      <c r="BC918" s="135"/>
      <c r="BK918" s="135"/>
      <c r="BN918" s="139"/>
      <c r="BO918" s="136"/>
      <c r="BQ918" s="148"/>
      <c r="BR918" s="136"/>
      <c r="BS918" s="149"/>
      <c r="BT918" s="136"/>
      <c r="BW918" s="135"/>
    </row>
    <row r="919" spans="40:76" x14ac:dyDescent="0.2">
      <c r="AN919" s="143"/>
      <c r="AO919" s="143"/>
      <c r="AP919" s="143"/>
      <c r="AQ919" s="143"/>
      <c r="AR919" s="143"/>
      <c r="AS919" s="143"/>
      <c r="AT919" s="143"/>
      <c r="AU919" s="143"/>
      <c r="AW919" s="135"/>
      <c r="AX919" s="135"/>
      <c r="AY919" s="135"/>
      <c r="AZ919" s="135"/>
      <c r="BA919" s="135"/>
      <c r="BB919" s="135"/>
      <c r="BC919" s="135"/>
      <c r="BK919" s="135"/>
      <c r="BN919" s="139"/>
      <c r="BO919" s="136"/>
      <c r="BQ919" s="148"/>
      <c r="BR919" s="136"/>
      <c r="BS919" s="149"/>
      <c r="BT919" s="136"/>
      <c r="BW919" s="135"/>
    </row>
    <row r="920" spans="40:76" x14ac:dyDescent="0.2">
      <c r="AN920" s="143"/>
      <c r="AO920" s="143"/>
      <c r="AP920" s="143"/>
      <c r="AQ920" s="143"/>
      <c r="AR920" s="143"/>
      <c r="AS920" s="143"/>
      <c r="AT920" s="143"/>
      <c r="AU920" s="143"/>
      <c r="AW920" s="135"/>
      <c r="AX920" s="135"/>
      <c r="AY920" s="135"/>
      <c r="AZ920" s="135"/>
      <c r="BA920" s="135"/>
      <c r="BB920" s="135"/>
      <c r="BC920" s="135"/>
      <c r="BK920" s="135"/>
      <c r="BN920" s="139"/>
      <c r="BO920" s="136"/>
      <c r="BQ920" s="148"/>
      <c r="BR920" s="136"/>
      <c r="BS920" s="149"/>
      <c r="BT920" s="136"/>
      <c r="BW920" s="135"/>
    </row>
    <row r="921" spans="40:76" x14ac:dyDescent="0.2">
      <c r="AN921" s="143"/>
      <c r="AO921" s="143"/>
      <c r="AP921" s="143"/>
      <c r="AQ921" s="143"/>
      <c r="AR921" s="143"/>
      <c r="AS921" s="143"/>
      <c r="AT921" s="143"/>
      <c r="AU921" s="143"/>
      <c r="AW921" s="135"/>
      <c r="AX921" s="135"/>
      <c r="AY921" s="135"/>
      <c r="AZ921" s="135"/>
      <c r="BA921" s="135"/>
      <c r="BB921" s="135"/>
      <c r="BC921" s="135"/>
      <c r="BK921" s="135"/>
      <c r="BN921" s="139"/>
      <c r="BO921" s="136"/>
      <c r="BQ921" s="148"/>
      <c r="BR921" s="136"/>
      <c r="BS921" s="149"/>
      <c r="BT921" s="136"/>
      <c r="BW921" s="135"/>
    </row>
    <row r="922" spans="40:76" x14ac:dyDescent="0.2">
      <c r="AN922" s="143"/>
      <c r="AO922" s="143"/>
      <c r="AP922" s="143"/>
      <c r="AQ922" s="143"/>
      <c r="AR922" s="143"/>
      <c r="AS922" s="143"/>
      <c r="AT922" s="143"/>
      <c r="AU922" s="143"/>
      <c r="AW922" s="135"/>
      <c r="AX922" s="135"/>
      <c r="AY922" s="135"/>
      <c r="AZ922" s="135"/>
      <c r="BA922" s="135"/>
      <c r="BB922" s="135"/>
      <c r="BC922" s="135"/>
      <c r="BK922" s="135"/>
      <c r="BN922" s="139"/>
      <c r="BO922" s="136"/>
      <c r="BQ922" s="148"/>
      <c r="BR922" s="136"/>
      <c r="BS922" s="149"/>
      <c r="BT922" s="136"/>
      <c r="BW922" s="135"/>
    </row>
    <row r="923" spans="40:76" x14ac:dyDescent="0.2">
      <c r="AN923" s="143"/>
      <c r="AO923" s="143"/>
      <c r="AP923" s="143"/>
      <c r="AQ923" s="143"/>
      <c r="AR923" s="143"/>
      <c r="AS923" s="143"/>
      <c r="AT923" s="143"/>
      <c r="AU923" s="143"/>
      <c r="AW923" s="135"/>
      <c r="AX923" s="135"/>
      <c r="AY923" s="135"/>
      <c r="AZ923" s="135"/>
      <c r="BA923" s="135"/>
      <c r="BB923" s="135"/>
      <c r="BC923" s="135"/>
      <c r="BK923" s="135"/>
      <c r="BN923" s="139"/>
      <c r="BO923" s="136"/>
      <c r="BQ923" s="148"/>
      <c r="BR923" s="136"/>
      <c r="BS923" s="149"/>
      <c r="BT923" s="136"/>
      <c r="BW923" s="135"/>
    </row>
    <row r="924" spans="40:76" x14ac:dyDescent="0.2">
      <c r="AN924" s="143"/>
      <c r="AO924" s="143"/>
      <c r="AP924" s="143"/>
      <c r="AQ924" s="143"/>
      <c r="AR924" s="143"/>
      <c r="AS924" s="143"/>
      <c r="AT924" s="143"/>
      <c r="AU924" s="143"/>
      <c r="AW924" s="135"/>
      <c r="AX924" s="135"/>
      <c r="AY924" s="135"/>
      <c r="AZ924" s="135"/>
      <c r="BA924" s="135"/>
      <c r="BB924" s="135"/>
      <c r="BC924" s="135"/>
      <c r="BK924" s="135"/>
      <c r="BN924" s="139"/>
      <c r="BO924" s="136"/>
      <c r="BQ924" s="148"/>
      <c r="BR924" s="136"/>
      <c r="BS924" s="149"/>
      <c r="BT924" s="136"/>
      <c r="BW924" s="135"/>
    </row>
    <row r="925" spans="40:76" x14ac:dyDescent="0.2">
      <c r="AN925" s="143"/>
      <c r="AO925" s="143"/>
      <c r="AP925" s="143"/>
      <c r="AQ925" s="143"/>
      <c r="AR925" s="143"/>
      <c r="AS925" s="143"/>
      <c r="AT925" s="143"/>
      <c r="AU925" s="143"/>
      <c r="AW925" s="135"/>
      <c r="AX925" s="135"/>
      <c r="AY925" s="135"/>
      <c r="AZ925" s="135"/>
      <c r="BA925" s="135"/>
      <c r="BB925" s="135"/>
      <c r="BC925" s="135"/>
      <c r="BK925" s="135"/>
      <c r="BN925" s="139"/>
      <c r="BO925" s="136"/>
      <c r="BQ925" s="148"/>
      <c r="BR925" s="136"/>
      <c r="BS925" s="149"/>
      <c r="BT925" s="136"/>
      <c r="BW925" s="135"/>
    </row>
    <row r="926" spans="40:76" x14ac:dyDescent="0.2">
      <c r="AN926" s="143"/>
      <c r="AO926" s="143"/>
      <c r="AP926" s="143"/>
      <c r="AQ926" s="143"/>
      <c r="AR926" s="143"/>
      <c r="AS926" s="143"/>
      <c r="AT926" s="143"/>
      <c r="AU926" s="143"/>
      <c r="AW926" s="135"/>
      <c r="AX926" s="135"/>
      <c r="AY926" s="135"/>
      <c r="AZ926" s="135"/>
      <c r="BA926" s="135"/>
      <c r="BB926" s="135"/>
      <c r="BC926" s="135"/>
      <c r="BK926" s="135"/>
      <c r="BN926" s="139"/>
      <c r="BO926" s="136"/>
      <c r="BQ926" s="148"/>
      <c r="BR926" s="136"/>
      <c r="BS926" s="149"/>
      <c r="BT926" s="136"/>
      <c r="BW926" s="135"/>
    </row>
    <row r="927" spans="40:76" x14ac:dyDescent="0.2">
      <c r="AN927" s="143"/>
      <c r="AO927" s="143"/>
      <c r="AP927" s="143"/>
      <c r="AQ927" s="143"/>
      <c r="AR927" s="143"/>
      <c r="AS927" s="143"/>
      <c r="AT927" s="143"/>
      <c r="AU927" s="143"/>
      <c r="AW927" s="135"/>
      <c r="AX927" s="135"/>
      <c r="AY927" s="135"/>
      <c r="AZ927" s="135"/>
      <c r="BA927" s="135"/>
      <c r="BB927" s="135"/>
      <c r="BC927" s="135"/>
      <c r="BK927" s="135"/>
      <c r="BN927" s="139"/>
      <c r="BO927" s="136"/>
      <c r="BQ927" s="148"/>
      <c r="BR927" s="136"/>
      <c r="BS927" s="149"/>
      <c r="BT927" s="136"/>
      <c r="BW927" s="135"/>
    </row>
    <row r="928" spans="40:76" x14ac:dyDescent="0.2">
      <c r="AN928" s="143"/>
      <c r="AO928" s="143"/>
      <c r="AP928" s="143"/>
      <c r="AQ928" s="143"/>
      <c r="AR928" s="143"/>
      <c r="AS928" s="143"/>
      <c r="AT928" s="143"/>
      <c r="AU928" s="143"/>
      <c r="AW928" s="135"/>
      <c r="AX928" s="135"/>
      <c r="AY928" s="135"/>
      <c r="AZ928" s="135"/>
      <c r="BA928" s="135"/>
      <c r="BB928" s="135"/>
      <c r="BC928" s="135"/>
      <c r="BK928" s="135"/>
      <c r="BN928" s="139"/>
      <c r="BO928" s="136"/>
      <c r="BQ928" s="148"/>
      <c r="BR928" s="136"/>
      <c r="BS928" s="149"/>
      <c r="BT928" s="136"/>
      <c r="BW928" s="135"/>
    </row>
    <row r="929" spans="40:76" x14ac:dyDescent="0.2">
      <c r="AN929" s="143"/>
      <c r="AO929" s="143"/>
      <c r="AP929" s="143"/>
      <c r="AQ929" s="143"/>
      <c r="AR929" s="143"/>
      <c r="AS929" s="143"/>
      <c r="AT929" s="143"/>
      <c r="AU929" s="143"/>
      <c r="AW929" s="135"/>
      <c r="AX929" s="135"/>
      <c r="AY929" s="135"/>
      <c r="AZ929" s="135"/>
      <c r="BA929" s="135"/>
      <c r="BB929" s="135"/>
      <c r="BC929" s="135"/>
      <c r="BK929" s="135"/>
      <c r="BN929" s="139"/>
      <c r="BO929" s="136"/>
      <c r="BQ929" s="148"/>
      <c r="BR929" s="136"/>
      <c r="BS929" s="149"/>
      <c r="BT929" s="136"/>
      <c r="BW929" s="135"/>
    </row>
    <row r="930" spans="40:76" x14ac:dyDescent="0.2">
      <c r="AN930" s="143"/>
      <c r="AO930" s="143"/>
      <c r="AP930" s="143"/>
      <c r="AQ930" s="143"/>
      <c r="AR930" s="143"/>
      <c r="AS930" s="143"/>
      <c r="AT930" s="143"/>
      <c r="AU930" s="143"/>
      <c r="AW930" s="135"/>
      <c r="AX930" s="135"/>
      <c r="AY930" s="135"/>
      <c r="AZ930" s="135"/>
      <c r="BA930" s="135"/>
      <c r="BB930" s="135"/>
      <c r="BC930" s="135"/>
      <c r="BK930" s="135"/>
      <c r="BN930" s="139"/>
      <c r="BO930" s="136"/>
      <c r="BQ930" s="148"/>
      <c r="BR930" s="136"/>
      <c r="BS930" s="149"/>
      <c r="BT930" s="136"/>
      <c r="BW930" s="135"/>
    </row>
    <row r="931" spans="40:76" x14ac:dyDescent="0.2">
      <c r="AN931" s="143"/>
      <c r="AO931" s="143"/>
      <c r="AP931" s="143"/>
      <c r="AQ931" s="143"/>
      <c r="AR931" s="143"/>
      <c r="AS931" s="143"/>
      <c r="AT931" s="143"/>
      <c r="AU931" s="143"/>
      <c r="AW931" s="135"/>
      <c r="AX931" s="135"/>
      <c r="AY931" s="135"/>
      <c r="AZ931" s="135"/>
      <c r="BA931" s="135"/>
      <c r="BB931" s="135"/>
      <c r="BC931" s="135"/>
      <c r="BK931" s="135"/>
      <c r="BN931" s="139"/>
      <c r="BO931" s="136"/>
      <c r="BQ931" s="148"/>
      <c r="BR931" s="136"/>
      <c r="BS931" s="149"/>
      <c r="BT931" s="136"/>
      <c r="BW931" s="135"/>
      <c r="BX931" s="369"/>
    </row>
    <row r="932" spans="40:76" x14ac:dyDescent="0.2">
      <c r="AN932" s="143"/>
      <c r="AO932" s="143"/>
      <c r="AP932" s="143"/>
      <c r="AQ932" s="143"/>
      <c r="AR932" s="143"/>
      <c r="AS932" s="143"/>
      <c r="AT932" s="143"/>
      <c r="AU932" s="143"/>
      <c r="AW932" s="135"/>
      <c r="AX932" s="135"/>
      <c r="AY932" s="135"/>
      <c r="AZ932" s="135"/>
      <c r="BA932" s="135"/>
      <c r="BB932" s="135"/>
      <c r="BC932" s="135"/>
      <c r="BK932" s="135"/>
      <c r="BN932" s="139"/>
      <c r="BO932" s="136"/>
      <c r="BQ932" s="148"/>
      <c r="BR932" s="136"/>
      <c r="BS932" s="149"/>
      <c r="BT932" s="136"/>
      <c r="BW932" s="135"/>
      <c r="BX932" s="369"/>
    </row>
    <row r="933" spans="40:76" x14ac:dyDescent="0.2">
      <c r="AN933" s="143"/>
      <c r="AO933" s="143"/>
      <c r="AP933" s="143"/>
      <c r="AQ933" s="143"/>
      <c r="AR933" s="143"/>
      <c r="AS933" s="143"/>
      <c r="AT933" s="143"/>
      <c r="AU933" s="143"/>
      <c r="AW933" s="135"/>
      <c r="AX933" s="135"/>
      <c r="AY933" s="135"/>
      <c r="AZ933" s="135"/>
      <c r="BA933" s="135"/>
      <c r="BB933" s="135"/>
      <c r="BC933" s="135"/>
      <c r="BK933" s="135"/>
      <c r="BN933" s="139"/>
      <c r="BO933" s="136"/>
      <c r="BQ933" s="148"/>
      <c r="BR933" s="136"/>
      <c r="BS933" s="149"/>
      <c r="BT933" s="136"/>
      <c r="BW933" s="135"/>
      <c r="BX933" s="369"/>
    </row>
    <row r="934" spans="40:76" x14ac:dyDescent="0.2">
      <c r="AN934" s="143"/>
      <c r="AO934" s="143"/>
      <c r="AP934" s="143"/>
      <c r="AQ934" s="143"/>
      <c r="AR934" s="143"/>
      <c r="AS934" s="143"/>
      <c r="AT934" s="143"/>
      <c r="AU934" s="143"/>
      <c r="AW934" s="135"/>
      <c r="AX934" s="135"/>
      <c r="AY934" s="135"/>
      <c r="AZ934" s="135"/>
      <c r="BA934" s="135"/>
      <c r="BB934" s="135"/>
      <c r="BC934" s="135"/>
      <c r="BK934" s="135"/>
      <c r="BN934" s="139"/>
      <c r="BO934" s="136"/>
      <c r="BQ934" s="148"/>
      <c r="BR934" s="136"/>
      <c r="BS934" s="149"/>
      <c r="BT934" s="136"/>
      <c r="BW934" s="135"/>
      <c r="BX934" s="369"/>
    </row>
    <row r="935" spans="40:76" x14ac:dyDescent="0.2">
      <c r="AN935" s="143"/>
      <c r="AO935" s="143"/>
      <c r="AP935" s="143"/>
      <c r="AQ935" s="143"/>
      <c r="AR935" s="143"/>
      <c r="AS935" s="143"/>
      <c r="AT935" s="143"/>
      <c r="AU935" s="143"/>
      <c r="AW935" s="135"/>
      <c r="AX935" s="135"/>
      <c r="AY935" s="135"/>
      <c r="AZ935" s="135"/>
      <c r="BA935" s="135"/>
      <c r="BB935" s="135"/>
      <c r="BC935" s="135"/>
      <c r="BK935" s="135"/>
      <c r="BN935" s="139"/>
      <c r="BO935" s="136"/>
      <c r="BQ935" s="148"/>
      <c r="BR935" s="136"/>
      <c r="BS935" s="149"/>
      <c r="BT935" s="136"/>
      <c r="BW935" s="135"/>
    </row>
    <row r="936" spans="40:76" x14ac:dyDescent="0.2">
      <c r="AN936" s="143"/>
      <c r="AO936" s="143"/>
      <c r="AP936" s="143"/>
      <c r="AQ936" s="143"/>
      <c r="AR936" s="143"/>
      <c r="AS936" s="143"/>
      <c r="AT936" s="143"/>
      <c r="AU936" s="143"/>
      <c r="AW936" s="135"/>
      <c r="AX936" s="135"/>
      <c r="AY936" s="135"/>
      <c r="AZ936" s="135"/>
      <c r="BA936" s="135"/>
      <c r="BB936" s="135"/>
      <c r="BC936" s="135"/>
      <c r="BK936" s="135"/>
      <c r="BN936" s="139"/>
      <c r="BO936" s="136"/>
      <c r="BQ936" s="148"/>
      <c r="BR936" s="136"/>
      <c r="BS936" s="149"/>
      <c r="BT936" s="136"/>
      <c r="BW936" s="135"/>
    </row>
    <row r="937" spans="40:76" x14ac:dyDescent="0.2">
      <c r="AN937" s="143"/>
      <c r="AO937" s="143"/>
      <c r="AP937" s="143"/>
      <c r="AQ937" s="143"/>
      <c r="AR937" s="143"/>
      <c r="AS937" s="143"/>
      <c r="AT937" s="143"/>
      <c r="AU937" s="143"/>
      <c r="AW937" s="135"/>
      <c r="AX937" s="135"/>
      <c r="AY937" s="135"/>
      <c r="AZ937" s="135"/>
      <c r="BA937" s="135"/>
      <c r="BB937" s="135"/>
      <c r="BC937" s="135"/>
      <c r="BK937" s="135"/>
      <c r="BN937" s="139"/>
      <c r="BO937" s="136"/>
      <c r="BQ937" s="148"/>
      <c r="BR937" s="136"/>
      <c r="BS937" s="149"/>
      <c r="BT937" s="136"/>
      <c r="BW937" s="135"/>
    </row>
    <row r="938" spans="40:76" x14ac:dyDescent="0.2">
      <c r="AN938" s="143"/>
      <c r="AO938" s="143"/>
      <c r="AP938" s="143"/>
      <c r="AQ938" s="143"/>
      <c r="AR938" s="143"/>
      <c r="AS938" s="143"/>
      <c r="AT938" s="143"/>
      <c r="AU938" s="143"/>
      <c r="AW938" s="135"/>
      <c r="AX938" s="135"/>
      <c r="AY938" s="135"/>
      <c r="AZ938" s="135"/>
      <c r="BA938" s="135"/>
      <c r="BB938" s="135"/>
      <c r="BC938" s="135"/>
      <c r="BK938" s="135"/>
      <c r="BN938" s="139"/>
      <c r="BO938" s="136"/>
      <c r="BQ938" s="148"/>
      <c r="BR938" s="136"/>
      <c r="BS938" s="149"/>
      <c r="BT938" s="136"/>
      <c r="BW938" s="135"/>
    </row>
    <row r="939" spans="40:76" x14ac:dyDescent="0.2">
      <c r="AN939" s="143"/>
      <c r="AO939" s="143"/>
      <c r="AP939" s="143"/>
      <c r="AQ939" s="143"/>
      <c r="AR939" s="143"/>
      <c r="AS939" s="143"/>
      <c r="AT939" s="143"/>
      <c r="AU939" s="143"/>
      <c r="AW939" s="135"/>
      <c r="AX939" s="135"/>
      <c r="AY939" s="135"/>
      <c r="AZ939" s="135"/>
      <c r="BA939" s="135"/>
      <c r="BB939" s="135"/>
      <c r="BC939" s="135"/>
      <c r="BK939" s="135"/>
      <c r="BN939" s="139"/>
      <c r="BO939" s="136"/>
      <c r="BQ939" s="148"/>
      <c r="BR939" s="136"/>
      <c r="BS939" s="149"/>
      <c r="BT939" s="136"/>
      <c r="BW939" s="135"/>
    </row>
    <row r="940" spans="40:76" x14ac:dyDescent="0.2">
      <c r="AN940" s="143"/>
      <c r="AO940" s="143"/>
      <c r="AP940" s="143"/>
      <c r="AQ940" s="143"/>
      <c r="AR940" s="143"/>
      <c r="AS940" s="143"/>
      <c r="AT940" s="143"/>
      <c r="AU940" s="143"/>
      <c r="AW940" s="135"/>
      <c r="AX940" s="135"/>
      <c r="AY940" s="135"/>
      <c r="AZ940" s="135"/>
      <c r="BA940" s="135"/>
      <c r="BB940" s="135"/>
      <c r="BC940" s="135"/>
      <c r="BK940" s="135"/>
      <c r="BN940" s="139"/>
      <c r="BO940" s="136"/>
      <c r="BQ940" s="148"/>
      <c r="BR940" s="136"/>
      <c r="BS940" s="149"/>
      <c r="BT940" s="136"/>
      <c r="BW940" s="135"/>
    </row>
    <row r="941" spans="40:76" x14ac:dyDescent="0.2">
      <c r="AN941" s="143"/>
      <c r="AO941" s="143"/>
      <c r="AP941" s="143"/>
      <c r="AQ941" s="143"/>
      <c r="AR941" s="143"/>
      <c r="AS941" s="143"/>
      <c r="AT941" s="143"/>
      <c r="AU941" s="143"/>
      <c r="AW941" s="135"/>
      <c r="AX941" s="135"/>
      <c r="AY941" s="135"/>
      <c r="AZ941" s="135"/>
      <c r="BA941" s="135"/>
      <c r="BB941" s="135"/>
      <c r="BC941" s="135"/>
      <c r="BK941" s="135"/>
      <c r="BN941" s="139"/>
      <c r="BO941" s="136"/>
      <c r="BQ941" s="148"/>
      <c r="BR941" s="136"/>
      <c r="BS941" s="149"/>
      <c r="BT941" s="136"/>
      <c r="BW941" s="135"/>
    </row>
    <row r="942" spans="40:76" x14ac:dyDescent="0.2">
      <c r="AN942" s="143"/>
      <c r="AO942" s="143"/>
      <c r="AP942" s="143"/>
      <c r="AQ942" s="143"/>
      <c r="AR942" s="143"/>
      <c r="AS942" s="143"/>
      <c r="AT942" s="143"/>
      <c r="AU942" s="143"/>
      <c r="AW942" s="135"/>
      <c r="AX942" s="135"/>
      <c r="AY942" s="135"/>
      <c r="AZ942" s="135"/>
      <c r="BA942" s="135"/>
      <c r="BB942" s="135"/>
      <c r="BC942" s="135"/>
      <c r="BK942" s="135"/>
      <c r="BN942" s="139"/>
      <c r="BO942" s="136"/>
      <c r="BQ942" s="148"/>
      <c r="BR942" s="136"/>
      <c r="BS942" s="149"/>
      <c r="BT942" s="136"/>
      <c r="BW942" s="135"/>
    </row>
    <row r="943" spans="40:76" x14ac:dyDescent="0.2">
      <c r="AN943" s="143"/>
      <c r="AO943" s="143"/>
      <c r="AP943" s="143"/>
      <c r="AQ943" s="143"/>
      <c r="AR943" s="143"/>
      <c r="AS943" s="143"/>
      <c r="AT943" s="143"/>
      <c r="AU943" s="143"/>
      <c r="AW943" s="135"/>
      <c r="AX943" s="135"/>
      <c r="AY943" s="135"/>
      <c r="AZ943" s="135"/>
      <c r="BA943" s="135"/>
      <c r="BB943" s="135"/>
      <c r="BC943" s="135"/>
      <c r="BK943" s="135"/>
      <c r="BN943" s="139"/>
      <c r="BO943" s="136"/>
      <c r="BQ943" s="148"/>
      <c r="BR943" s="136"/>
      <c r="BS943" s="149"/>
      <c r="BT943" s="136"/>
      <c r="BW943" s="135"/>
    </row>
    <row r="944" spans="40:76" x14ac:dyDescent="0.2">
      <c r="AN944" s="143"/>
      <c r="AO944" s="143"/>
      <c r="AP944" s="143"/>
      <c r="AQ944" s="143"/>
      <c r="AR944" s="143"/>
      <c r="AS944" s="143"/>
      <c r="AT944" s="143"/>
      <c r="AU944" s="143"/>
      <c r="AW944" s="135"/>
      <c r="AX944" s="135"/>
      <c r="AY944" s="135"/>
      <c r="AZ944" s="135"/>
      <c r="BA944" s="135"/>
      <c r="BB944" s="135"/>
      <c r="BC944" s="135"/>
      <c r="BK944" s="135"/>
      <c r="BN944" s="139"/>
      <c r="BO944" s="136"/>
      <c r="BQ944" s="148"/>
      <c r="BR944" s="136"/>
      <c r="BS944" s="149"/>
      <c r="BT944" s="136"/>
      <c r="BW944" s="135"/>
    </row>
    <row r="945" spans="40:75" x14ac:dyDescent="0.2">
      <c r="AN945" s="143"/>
      <c r="AO945" s="143"/>
      <c r="AP945" s="143"/>
      <c r="AQ945" s="143"/>
      <c r="AR945" s="143"/>
      <c r="AS945" s="143"/>
      <c r="AT945" s="143"/>
      <c r="AU945" s="143"/>
      <c r="AW945" s="135"/>
      <c r="AX945" s="135"/>
      <c r="AY945" s="135"/>
      <c r="AZ945" s="135"/>
      <c r="BA945" s="135"/>
      <c r="BB945" s="135"/>
      <c r="BC945" s="135"/>
      <c r="BK945" s="135"/>
      <c r="BN945" s="139"/>
      <c r="BO945" s="136"/>
      <c r="BQ945" s="148"/>
      <c r="BR945" s="136"/>
      <c r="BS945" s="149"/>
      <c r="BT945" s="136"/>
      <c r="BW945" s="135"/>
    </row>
    <row r="946" spans="40:75" x14ac:dyDescent="0.2">
      <c r="AN946" s="143"/>
      <c r="AO946" s="143"/>
      <c r="AP946" s="143"/>
      <c r="AQ946" s="143"/>
      <c r="AR946" s="143"/>
      <c r="AS946" s="143"/>
      <c r="AT946" s="143"/>
      <c r="AU946" s="143"/>
      <c r="AW946" s="135"/>
      <c r="AX946" s="135"/>
      <c r="AY946" s="135"/>
      <c r="AZ946" s="135"/>
      <c r="BA946" s="135"/>
      <c r="BB946" s="135"/>
      <c r="BC946" s="135"/>
      <c r="BK946" s="135"/>
      <c r="BN946" s="139"/>
      <c r="BO946" s="136"/>
      <c r="BQ946" s="148"/>
      <c r="BR946" s="136"/>
      <c r="BS946" s="149"/>
      <c r="BT946" s="136"/>
      <c r="BW946" s="135"/>
    </row>
    <row r="947" spans="40:75" x14ac:dyDescent="0.2">
      <c r="AN947" s="143"/>
      <c r="AO947" s="143"/>
      <c r="AP947" s="143"/>
      <c r="AQ947" s="143"/>
      <c r="AR947" s="143"/>
      <c r="AS947" s="143"/>
      <c r="AT947" s="143"/>
      <c r="AU947" s="143"/>
      <c r="AW947" s="135"/>
      <c r="AX947" s="135"/>
      <c r="AY947" s="135"/>
      <c r="AZ947" s="135"/>
      <c r="BA947" s="135"/>
      <c r="BB947" s="135"/>
      <c r="BC947" s="135"/>
      <c r="BK947" s="135"/>
      <c r="BN947" s="139"/>
      <c r="BO947" s="136"/>
      <c r="BQ947" s="148"/>
      <c r="BR947" s="136"/>
      <c r="BS947" s="149"/>
      <c r="BT947" s="136"/>
      <c r="BW947" s="135"/>
    </row>
    <row r="948" spans="40:75" x14ac:dyDescent="0.2">
      <c r="AN948" s="143"/>
      <c r="AO948" s="143"/>
      <c r="AP948" s="143"/>
      <c r="AQ948" s="143"/>
      <c r="AR948" s="143"/>
      <c r="AS948" s="143"/>
      <c r="AT948" s="143"/>
      <c r="AU948" s="143"/>
      <c r="AW948" s="135"/>
      <c r="AX948" s="135"/>
      <c r="AY948" s="135"/>
      <c r="AZ948" s="135"/>
      <c r="BA948" s="135"/>
      <c r="BB948" s="135"/>
      <c r="BC948" s="135"/>
      <c r="BK948" s="135"/>
      <c r="BN948" s="139"/>
      <c r="BO948" s="136"/>
      <c r="BQ948" s="148"/>
      <c r="BR948" s="136"/>
      <c r="BS948" s="149"/>
      <c r="BT948" s="136"/>
      <c r="BW948" s="135"/>
    </row>
    <row r="949" spans="40:75" x14ac:dyDescent="0.2">
      <c r="AN949" s="143"/>
      <c r="AO949" s="143"/>
      <c r="AP949" s="143"/>
      <c r="AQ949" s="143"/>
      <c r="AR949" s="143"/>
      <c r="AS949" s="143"/>
      <c r="AT949" s="143"/>
      <c r="AU949" s="143"/>
      <c r="AW949" s="135"/>
      <c r="AX949" s="135"/>
      <c r="AY949" s="135"/>
      <c r="AZ949" s="135"/>
      <c r="BA949" s="135"/>
      <c r="BB949" s="135"/>
      <c r="BC949" s="135"/>
      <c r="BK949" s="135"/>
      <c r="BN949" s="139"/>
      <c r="BO949" s="136"/>
      <c r="BQ949" s="148"/>
      <c r="BR949" s="136"/>
      <c r="BS949" s="149"/>
      <c r="BT949" s="136"/>
      <c r="BW949" s="135"/>
    </row>
    <row r="950" spans="40:75" x14ac:dyDescent="0.2">
      <c r="AN950" s="143"/>
      <c r="AO950" s="143"/>
      <c r="AP950" s="143"/>
      <c r="AQ950" s="143"/>
      <c r="AR950" s="143"/>
      <c r="AS950" s="143"/>
      <c r="AT950" s="143"/>
      <c r="AU950" s="143"/>
      <c r="AW950" s="135"/>
      <c r="AX950" s="135"/>
      <c r="AY950" s="135"/>
      <c r="AZ950" s="135"/>
      <c r="BA950" s="135"/>
      <c r="BB950" s="135"/>
      <c r="BC950" s="135"/>
      <c r="BK950" s="135"/>
      <c r="BN950" s="139"/>
      <c r="BO950" s="136"/>
      <c r="BQ950" s="148"/>
      <c r="BR950" s="136"/>
      <c r="BS950" s="149"/>
      <c r="BT950" s="136"/>
      <c r="BW950" s="135"/>
    </row>
    <row r="951" spans="40:75" x14ac:dyDescent="0.2">
      <c r="AN951" s="143"/>
      <c r="AO951" s="143"/>
      <c r="AP951" s="143"/>
      <c r="AQ951" s="143"/>
      <c r="AR951" s="143"/>
      <c r="AS951" s="143"/>
      <c r="AT951" s="143"/>
      <c r="AU951" s="143"/>
      <c r="AW951" s="135"/>
      <c r="AX951" s="135"/>
      <c r="AY951" s="135"/>
      <c r="AZ951" s="135"/>
      <c r="BA951" s="135"/>
      <c r="BB951" s="135"/>
      <c r="BC951" s="135"/>
      <c r="BK951" s="135"/>
      <c r="BN951" s="139"/>
      <c r="BO951" s="136"/>
      <c r="BQ951" s="148"/>
      <c r="BR951" s="136"/>
      <c r="BS951" s="149"/>
      <c r="BT951" s="136"/>
      <c r="BW951" s="135"/>
    </row>
    <row r="952" spans="40:75" x14ac:dyDescent="0.2">
      <c r="AN952" s="143"/>
      <c r="AO952" s="143"/>
      <c r="AP952" s="143"/>
      <c r="AQ952" s="143"/>
      <c r="AR952" s="143"/>
      <c r="AS952" s="143"/>
      <c r="AT952" s="143"/>
      <c r="AU952" s="143"/>
      <c r="AW952" s="135"/>
      <c r="AX952" s="135"/>
      <c r="AY952" s="135"/>
      <c r="AZ952" s="135"/>
      <c r="BA952" s="135"/>
      <c r="BB952" s="135"/>
      <c r="BC952" s="135"/>
      <c r="BK952" s="135"/>
      <c r="BN952" s="139"/>
      <c r="BO952" s="136"/>
      <c r="BQ952" s="148"/>
      <c r="BR952" s="136"/>
      <c r="BS952" s="149"/>
      <c r="BT952" s="136"/>
      <c r="BW952" s="135"/>
    </row>
    <row r="953" spans="40:75" x14ac:dyDescent="0.2">
      <c r="AN953" s="143"/>
      <c r="AO953" s="143"/>
      <c r="AP953" s="143"/>
      <c r="AQ953" s="143"/>
      <c r="AR953" s="143"/>
      <c r="AS953" s="143"/>
      <c r="AT953" s="143"/>
      <c r="AU953" s="143"/>
      <c r="AW953" s="135"/>
      <c r="AX953" s="135"/>
      <c r="AY953" s="135"/>
      <c r="AZ953" s="135"/>
      <c r="BA953" s="135"/>
      <c r="BB953" s="135"/>
      <c r="BC953" s="135"/>
      <c r="BK953" s="135"/>
      <c r="BN953" s="139"/>
      <c r="BO953" s="136"/>
      <c r="BQ953" s="148"/>
      <c r="BR953" s="136"/>
      <c r="BS953" s="149"/>
      <c r="BT953" s="136"/>
      <c r="BW953" s="135"/>
    </row>
    <row r="954" spans="40:75" x14ac:dyDescent="0.2">
      <c r="AN954" s="143"/>
      <c r="AO954" s="143"/>
      <c r="AP954" s="143"/>
      <c r="AQ954" s="143"/>
      <c r="AR954" s="143"/>
      <c r="AS954" s="143"/>
      <c r="AT954" s="143"/>
      <c r="AU954" s="143"/>
      <c r="AW954" s="135"/>
      <c r="AX954" s="135"/>
      <c r="AY954" s="135"/>
      <c r="AZ954" s="135"/>
      <c r="BA954" s="135"/>
      <c r="BB954" s="135"/>
      <c r="BC954" s="135"/>
      <c r="BK954" s="135"/>
      <c r="BN954" s="139"/>
      <c r="BO954" s="136"/>
      <c r="BQ954" s="148"/>
      <c r="BR954" s="136"/>
      <c r="BS954" s="149"/>
      <c r="BT954" s="136"/>
      <c r="BW954" s="135"/>
    </row>
    <row r="955" spans="40:75" x14ac:dyDescent="0.2">
      <c r="AN955" s="135"/>
      <c r="AO955" s="135"/>
      <c r="AP955" s="135"/>
      <c r="AQ955" s="135"/>
      <c r="AR955" s="135"/>
      <c r="AS955" s="135"/>
      <c r="AT955" s="135"/>
      <c r="AU955" s="135"/>
      <c r="AW955" s="135"/>
      <c r="AX955" s="135"/>
      <c r="AY955" s="135"/>
      <c r="AZ955" s="135"/>
      <c r="BA955" s="135"/>
      <c r="BB955" s="135"/>
      <c r="BC955" s="135"/>
      <c r="BK955" s="135"/>
      <c r="BN955" s="139"/>
      <c r="BO955" s="136"/>
      <c r="BQ955" s="148"/>
      <c r="BR955" s="136"/>
      <c r="BS955" s="149"/>
      <c r="BT955" s="136"/>
      <c r="BW955" s="135"/>
    </row>
    <row r="956" spans="40:75" x14ac:dyDescent="0.2">
      <c r="AN956" s="135"/>
      <c r="AO956" s="135"/>
      <c r="AP956" s="135"/>
      <c r="AQ956" s="135"/>
      <c r="AR956" s="135"/>
      <c r="AS956" s="135"/>
      <c r="AT956" s="135"/>
      <c r="AU956" s="135"/>
      <c r="AW956" s="135"/>
      <c r="AX956" s="135"/>
      <c r="AY956" s="135"/>
      <c r="AZ956" s="135"/>
      <c r="BA956" s="135"/>
      <c r="BB956" s="135"/>
      <c r="BC956" s="135"/>
      <c r="BK956" s="135"/>
      <c r="BN956" s="139"/>
      <c r="BO956" s="136"/>
      <c r="BQ956" s="148"/>
      <c r="BR956" s="136"/>
      <c r="BS956" s="149"/>
      <c r="BT956" s="136"/>
      <c r="BW956" s="135"/>
    </row>
    <row r="957" spans="40:75" x14ac:dyDescent="0.2">
      <c r="AN957" s="135"/>
      <c r="AO957" s="135"/>
      <c r="AP957" s="135"/>
      <c r="AQ957" s="135"/>
      <c r="AR957" s="135"/>
      <c r="AS957" s="135"/>
      <c r="AT957" s="135"/>
      <c r="AU957" s="135"/>
      <c r="AW957" s="135"/>
      <c r="AX957" s="135"/>
      <c r="AY957" s="135"/>
      <c r="AZ957" s="135"/>
      <c r="BA957" s="135"/>
      <c r="BB957" s="135"/>
      <c r="BC957" s="135"/>
      <c r="BK957" s="135"/>
      <c r="BN957" s="139"/>
      <c r="BO957" s="136"/>
      <c r="BQ957" s="148"/>
      <c r="BR957" s="136"/>
      <c r="BS957" s="149"/>
      <c r="BT957" s="136"/>
      <c r="BW957" s="135"/>
    </row>
    <row r="958" spans="40:75" x14ac:dyDescent="0.2">
      <c r="AN958" s="135"/>
      <c r="AO958" s="135"/>
      <c r="AP958" s="135"/>
      <c r="AQ958" s="135"/>
      <c r="AR958" s="135"/>
      <c r="AS958" s="135"/>
      <c r="AT958" s="135"/>
      <c r="AU958" s="135"/>
      <c r="AW958" s="135"/>
      <c r="AX958" s="135"/>
      <c r="AY958" s="135"/>
      <c r="AZ958" s="135"/>
      <c r="BA958" s="135"/>
      <c r="BB958" s="135"/>
      <c r="BC958" s="135"/>
      <c r="BK958" s="135"/>
      <c r="BN958" s="139"/>
      <c r="BO958" s="136"/>
      <c r="BQ958" s="148"/>
      <c r="BR958" s="136"/>
      <c r="BS958" s="149"/>
      <c r="BT958" s="136"/>
      <c r="BW958" s="135"/>
    </row>
    <row r="959" spans="40:75" x14ac:dyDescent="0.2">
      <c r="AN959" s="135"/>
      <c r="AO959" s="135"/>
      <c r="AP959" s="135"/>
      <c r="AQ959" s="135"/>
      <c r="AR959" s="135"/>
      <c r="AS959" s="135"/>
      <c r="AT959" s="135"/>
      <c r="AU959" s="135"/>
      <c r="AW959" s="135"/>
      <c r="AX959" s="135"/>
      <c r="AY959" s="135"/>
      <c r="AZ959" s="135"/>
      <c r="BA959" s="135"/>
      <c r="BB959" s="135"/>
      <c r="BC959" s="135"/>
      <c r="BK959" s="135"/>
      <c r="BN959" s="139"/>
      <c r="BO959" s="136"/>
      <c r="BQ959" s="148"/>
      <c r="BR959" s="136"/>
      <c r="BS959" s="149"/>
      <c r="BT959" s="136"/>
      <c r="BW959" s="135"/>
    </row>
    <row r="960" spans="40:75" x14ac:dyDescent="0.2">
      <c r="AN960" s="135"/>
      <c r="AO960" s="135"/>
      <c r="AP960" s="135"/>
      <c r="AQ960" s="135"/>
      <c r="AR960" s="135"/>
      <c r="AS960" s="135"/>
      <c r="AT960" s="135"/>
      <c r="AU960" s="135"/>
      <c r="AW960" s="135"/>
      <c r="AX960" s="135"/>
      <c r="AY960" s="135"/>
      <c r="AZ960" s="135"/>
      <c r="BA960" s="135"/>
      <c r="BB960" s="135"/>
      <c r="BC960" s="135"/>
      <c r="BK960" s="135"/>
      <c r="BN960" s="139"/>
      <c r="BO960" s="136"/>
      <c r="BQ960" s="148"/>
      <c r="BR960" s="136"/>
      <c r="BS960" s="149"/>
      <c r="BT960" s="136"/>
      <c r="BW960" s="135"/>
    </row>
    <row r="961" spans="40:75" x14ac:dyDescent="0.2">
      <c r="AN961" s="135"/>
      <c r="AO961" s="135"/>
      <c r="AP961" s="135"/>
      <c r="AQ961" s="135"/>
      <c r="AR961" s="135"/>
      <c r="AS961" s="135"/>
      <c r="AT961" s="135"/>
      <c r="AU961" s="135"/>
      <c r="AW961" s="135"/>
      <c r="AX961" s="135"/>
      <c r="AY961" s="135"/>
      <c r="AZ961" s="135"/>
      <c r="BA961" s="135"/>
      <c r="BB961" s="135"/>
      <c r="BC961" s="135"/>
      <c r="BK961" s="135"/>
      <c r="BN961" s="139"/>
      <c r="BO961" s="136"/>
      <c r="BQ961" s="148"/>
      <c r="BR961" s="136"/>
      <c r="BS961" s="149"/>
      <c r="BT961" s="136"/>
      <c r="BW961" s="135"/>
    </row>
    <row r="962" spans="40:75" x14ac:dyDescent="0.2">
      <c r="AN962" s="135"/>
      <c r="AO962" s="135"/>
      <c r="AP962" s="135"/>
      <c r="AQ962" s="135"/>
      <c r="AR962" s="135"/>
      <c r="AS962" s="135"/>
      <c r="AT962" s="135"/>
      <c r="AU962" s="135"/>
      <c r="AW962" s="135"/>
      <c r="AX962" s="135"/>
      <c r="AY962" s="135"/>
      <c r="AZ962" s="135"/>
      <c r="BA962" s="135"/>
      <c r="BB962" s="135"/>
      <c r="BC962" s="135"/>
      <c r="BK962" s="135"/>
      <c r="BN962" s="139"/>
      <c r="BO962" s="136"/>
      <c r="BQ962" s="148"/>
      <c r="BR962" s="136"/>
      <c r="BS962" s="149"/>
      <c r="BT962" s="136"/>
      <c r="BW962" s="135"/>
    </row>
    <row r="963" spans="40:75" x14ac:dyDescent="0.2">
      <c r="AN963" s="135"/>
      <c r="AO963" s="135"/>
      <c r="AP963" s="135"/>
      <c r="AQ963" s="135"/>
      <c r="AR963" s="135"/>
      <c r="AS963" s="135"/>
      <c r="AT963" s="135"/>
      <c r="AU963" s="135"/>
      <c r="AW963" s="135"/>
      <c r="AX963" s="135"/>
      <c r="AY963" s="135"/>
      <c r="AZ963" s="135"/>
      <c r="BA963" s="135"/>
      <c r="BB963" s="135"/>
      <c r="BC963" s="135"/>
      <c r="BK963" s="135"/>
      <c r="BN963" s="139"/>
      <c r="BO963" s="136"/>
      <c r="BQ963" s="148"/>
      <c r="BR963" s="136"/>
      <c r="BS963" s="149"/>
      <c r="BT963" s="136"/>
      <c r="BW963" s="135"/>
    </row>
    <row r="964" spans="40:75" x14ac:dyDescent="0.2">
      <c r="AN964" s="135"/>
      <c r="AO964" s="135"/>
      <c r="AP964" s="135"/>
      <c r="AQ964" s="135"/>
      <c r="AR964" s="135"/>
      <c r="AS964" s="135"/>
      <c r="AT964" s="135"/>
      <c r="AU964" s="135"/>
      <c r="AW964" s="135"/>
      <c r="AX964" s="135"/>
      <c r="AY964" s="135"/>
      <c r="AZ964" s="135"/>
      <c r="BA964" s="135"/>
      <c r="BB964" s="135"/>
      <c r="BC964" s="135"/>
      <c r="BK964" s="135"/>
      <c r="BN964" s="139"/>
      <c r="BO964" s="136"/>
      <c r="BQ964" s="148"/>
      <c r="BR964" s="136"/>
      <c r="BS964" s="149"/>
      <c r="BT964" s="136"/>
      <c r="BW964" s="135"/>
    </row>
    <row r="965" spans="40:75" x14ac:dyDescent="0.2">
      <c r="AN965" s="135"/>
      <c r="AO965" s="135"/>
      <c r="AP965" s="135"/>
      <c r="AQ965" s="135"/>
      <c r="AR965" s="135"/>
      <c r="AS965" s="135"/>
      <c r="AT965" s="135"/>
      <c r="AU965" s="135"/>
      <c r="AW965" s="135"/>
      <c r="AX965" s="135"/>
      <c r="AY965" s="135"/>
      <c r="AZ965" s="135"/>
      <c r="BA965" s="135"/>
      <c r="BB965" s="135"/>
      <c r="BC965" s="135"/>
      <c r="BK965" s="135"/>
      <c r="BN965" s="139"/>
      <c r="BO965" s="136"/>
      <c r="BQ965" s="148"/>
      <c r="BR965" s="136"/>
      <c r="BS965" s="149"/>
      <c r="BT965" s="136"/>
      <c r="BW965" s="135"/>
    </row>
    <row r="966" spans="40:75" x14ac:dyDescent="0.2">
      <c r="AN966" s="135"/>
      <c r="AO966" s="135"/>
      <c r="AP966" s="135"/>
      <c r="AQ966" s="135"/>
      <c r="AR966" s="135"/>
      <c r="AS966" s="135"/>
      <c r="AT966" s="135"/>
      <c r="AU966" s="135"/>
      <c r="AW966" s="135"/>
      <c r="AX966" s="135"/>
      <c r="AY966" s="135"/>
      <c r="AZ966" s="135"/>
      <c r="BA966" s="135"/>
      <c r="BB966" s="135"/>
      <c r="BC966" s="135"/>
      <c r="BK966" s="135"/>
      <c r="BN966" s="139"/>
      <c r="BO966" s="136"/>
      <c r="BQ966" s="148"/>
      <c r="BR966" s="136"/>
      <c r="BS966" s="149"/>
      <c r="BT966" s="136"/>
      <c r="BW966" s="135"/>
    </row>
    <row r="967" spans="40:75" x14ac:dyDescent="0.2">
      <c r="AN967" s="135"/>
      <c r="AO967" s="135"/>
      <c r="AP967" s="135"/>
      <c r="AQ967" s="135"/>
      <c r="AR967" s="135"/>
      <c r="AS967" s="135"/>
      <c r="AT967" s="135"/>
      <c r="AU967" s="135"/>
      <c r="AW967" s="135"/>
      <c r="AX967" s="135"/>
      <c r="AY967" s="135"/>
      <c r="AZ967" s="135"/>
      <c r="BA967" s="135"/>
      <c r="BB967" s="135"/>
      <c r="BC967" s="135"/>
      <c r="BK967" s="135"/>
      <c r="BN967" s="139"/>
      <c r="BO967" s="136"/>
      <c r="BQ967" s="148"/>
      <c r="BR967" s="136"/>
      <c r="BS967" s="149"/>
      <c r="BT967" s="136"/>
      <c r="BW967" s="135"/>
    </row>
    <row r="968" spans="40:75" x14ac:dyDescent="0.2">
      <c r="AN968" s="135"/>
      <c r="AO968" s="135"/>
      <c r="AP968" s="135"/>
      <c r="AQ968" s="135"/>
      <c r="AR968" s="135"/>
      <c r="AS968" s="135"/>
      <c r="AT968" s="135"/>
      <c r="AU968" s="135"/>
      <c r="AW968" s="135"/>
      <c r="AX968" s="135"/>
      <c r="AY968" s="135"/>
      <c r="AZ968" s="135"/>
      <c r="BA968" s="135"/>
      <c r="BB968" s="135"/>
      <c r="BC968" s="135"/>
      <c r="BK968" s="135"/>
      <c r="BN968" s="139"/>
      <c r="BO968" s="136"/>
      <c r="BQ968" s="148"/>
      <c r="BR968" s="136"/>
      <c r="BS968" s="149"/>
      <c r="BT968" s="136"/>
      <c r="BW968" s="135"/>
    </row>
    <row r="969" spans="40:75" x14ac:dyDescent="0.2">
      <c r="AN969" s="135"/>
      <c r="AO969" s="135"/>
      <c r="AP969" s="135"/>
      <c r="AQ969" s="135"/>
      <c r="AR969" s="135"/>
      <c r="AS969" s="135"/>
      <c r="AT969" s="135"/>
      <c r="AU969" s="135"/>
      <c r="AW969" s="135"/>
      <c r="AX969" s="135"/>
      <c r="AY969" s="135"/>
      <c r="AZ969" s="135"/>
      <c r="BA969" s="135"/>
      <c r="BB969" s="135"/>
      <c r="BC969" s="135"/>
      <c r="BK969" s="135"/>
      <c r="BN969" s="139"/>
      <c r="BO969" s="136"/>
      <c r="BQ969" s="148"/>
      <c r="BR969" s="136"/>
      <c r="BS969" s="149"/>
      <c r="BT969" s="136"/>
      <c r="BW969" s="135"/>
    </row>
    <row r="970" spans="40:75" x14ac:dyDescent="0.2">
      <c r="AN970" s="135"/>
      <c r="AO970" s="135"/>
      <c r="AP970" s="135"/>
      <c r="AQ970" s="135"/>
      <c r="AR970" s="135"/>
      <c r="AS970" s="135"/>
      <c r="AT970" s="135"/>
      <c r="AU970" s="135"/>
      <c r="AW970" s="135"/>
      <c r="AX970" s="135"/>
      <c r="AY970" s="135"/>
      <c r="AZ970" s="135"/>
      <c r="BA970" s="135"/>
      <c r="BB970" s="135"/>
      <c r="BC970" s="135"/>
      <c r="BK970" s="135"/>
      <c r="BN970" s="139"/>
      <c r="BO970" s="136"/>
      <c r="BQ970" s="148"/>
      <c r="BR970" s="136"/>
      <c r="BS970" s="149"/>
      <c r="BT970" s="136"/>
      <c r="BW970" s="135"/>
    </row>
    <row r="971" spans="40:75" x14ac:dyDescent="0.2">
      <c r="AN971" s="135"/>
      <c r="AO971" s="135"/>
      <c r="AP971" s="135"/>
      <c r="AQ971" s="135"/>
      <c r="AR971" s="135"/>
      <c r="AS971" s="135"/>
      <c r="AT971" s="135"/>
      <c r="AU971" s="135"/>
      <c r="AW971" s="135"/>
      <c r="AX971" s="135"/>
      <c r="AY971" s="135"/>
      <c r="AZ971" s="135"/>
      <c r="BA971" s="135"/>
      <c r="BB971" s="135"/>
      <c r="BC971" s="135"/>
      <c r="BK971" s="135"/>
      <c r="BN971" s="139"/>
      <c r="BO971" s="136"/>
      <c r="BQ971" s="148"/>
      <c r="BR971" s="136"/>
      <c r="BS971" s="149"/>
      <c r="BT971" s="136"/>
      <c r="BW971" s="135"/>
    </row>
    <row r="972" spans="40:75" x14ac:dyDescent="0.2">
      <c r="AN972" s="135"/>
      <c r="AO972" s="135"/>
      <c r="AP972" s="135"/>
      <c r="AQ972" s="135"/>
      <c r="AR972" s="135"/>
      <c r="AS972" s="135"/>
      <c r="AT972" s="135"/>
      <c r="AU972" s="135"/>
      <c r="AW972" s="135"/>
      <c r="AX972" s="135"/>
      <c r="AY972" s="135"/>
      <c r="AZ972" s="135"/>
      <c r="BA972" s="135"/>
      <c r="BB972" s="135"/>
      <c r="BC972" s="135"/>
      <c r="BK972" s="135"/>
      <c r="BN972" s="139"/>
      <c r="BO972" s="136"/>
      <c r="BQ972" s="148"/>
      <c r="BR972" s="136"/>
      <c r="BS972" s="149"/>
      <c r="BT972" s="136"/>
      <c r="BW972" s="135"/>
    </row>
    <row r="973" spans="40:75" x14ac:dyDescent="0.2">
      <c r="AN973" s="135"/>
      <c r="AO973" s="135"/>
      <c r="AP973" s="135"/>
      <c r="AQ973" s="135"/>
      <c r="AR973" s="135"/>
      <c r="AS973" s="135"/>
      <c r="AT973" s="135"/>
      <c r="AU973" s="135"/>
      <c r="AW973" s="135"/>
      <c r="AX973" s="135"/>
      <c r="AY973" s="135"/>
      <c r="AZ973" s="135"/>
      <c r="BA973" s="135"/>
      <c r="BB973" s="135"/>
      <c r="BC973" s="135"/>
      <c r="BK973" s="135"/>
      <c r="BN973" s="139"/>
      <c r="BO973" s="136"/>
      <c r="BQ973" s="148"/>
      <c r="BR973" s="136"/>
      <c r="BS973" s="149"/>
      <c r="BT973" s="136"/>
      <c r="BW973" s="135"/>
    </row>
    <row r="974" spans="40:75" x14ac:dyDescent="0.2">
      <c r="AN974" s="135"/>
      <c r="AO974" s="135"/>
      <c r="AP974" s="135"/>
      <c r="AQ974" s="135"/>
      <c r="AR974" s="135"/>
      <c r="AS974" s="135"/>
      <c r="AT974" s="135"/>
      <c r="AU974" s="135"/>
      <c r="AW974" s="135"/>
      <c r="AX974" s="135"/>
      <c r="AY974" s="135"/>
      <c r="AZ974" s="135"/>
      <c r="BA974" s="135"/>
      <c r="BB974" s="135"/>
      <c r="BC974" s="135"/>
      <c r="BK974" s="135"/>
      <c r="BN974" s="139"/>
      <c r="BO974" s="136"/>
      <c r="BQ974" s="148"/>
      <c r="BR974" s="136"/>
      <c r="BS974" s="149"/>
      <c r="BT974" s="136"/>
      <c r="BW974" s="135"/>
    </row>
    <row r="975" spans="40:75" x14ac:dyDescent="0.2">
      <c r="AN975" s="135"/>
      <c r="AO975" s="135"/>
      <c r="AP975" s="135"/>
      <c r="AQ975" s="135"/>
      <c r="AR975" s="135"/>
      <c r="AS975" s="135"/>
      <c r="AT975" s="135"/>
      <c r="AU975" s="135"/>
      <c r="AW975" s="135"/>
      <c r="AX975" s="135"/>
      <c r="AY975" s="135"/>
      <c r="AZ975" s="135"/>
      <c r="BA975" s="135"/>
      <c r="BB975" s="135"/>
      <c r="BC975" s="135"/>
      <c r="BK975" s="135"/>
      <c r="BN975" s="139"/>
      <c r="BO975" s="136"/>
      <c r="BQ975" s="148"/>
      <c r="BR975" s="136"/>
      <c r="BS975" s="149"/>
      <c r="BT975" s="136"/>
      <c r="BW975" s="135"/>
    </row>
    <row r="976" spans="40:75" x14ac:dyDescent="0.2">
      <c r="AN976" s="135"/>
      <c r="AO976" s="135"/>
      <c r="AP976" s="135"/>
      <c r="AQ976" s="135"/>
      <c r="AR976" s="135"/>
      <c r="AS976" s="135"/>
      <c r="AT976" s="135"/>
      <c r="AU976" s="135"/>
      <c r="AW976" s="135"/>
      <c r="AX976" s="135"/>
      <c r="AY976" s="135"/>
      <c r="AZ976" s="135"/>
      <c r="BA976" s="135"/>
      <c r="BB976" s="135"/>
      <c r="BC976" s="135"/>
      <c r="BK976" s="135"/>
      <c r="BN976" s="139"/>
      <c r="BO976" s="136"/>
      <c r="BQ976" s="148"/>
      <c r="BR976" s="136"/>
      <c r="BS976" s="149"/>
      <c r="BT976" s="136"/>
      <c r="BW976" s="135"/>
    </row>
    <row r="977" spans="40:76" x14ac:dyDescent="0.2">
      <c r="AN977" s="135"/>
      <c r="AO977" s="135"/>
      <c r="AP977" s="135"/>
      <c r="AQ977" s="135"/>
      <c r="AR977" s="135"/>
      <c r="AS977" s="135"/>
      <c r="AT977" s="135"/>
      <c r="AU977" s="135"/>
      <c r="AW977" s="135"/>
      <c r="AX977" s="135"/>
      <c r="AY977" s="135"/>
      <c r="AZ977" s="135"/>
      <c r="BA977" s="135"/>
      <c r="BB977" s="135"/>
      <c r="BC977" s="135"/>
      <c r="BK977" s="135"/>
      <c r="BN977" s="139"/>
      <c r="BO977" s="136"/>
      <c r="BQ977" s="148"/>
      <c r="BR977" s="136"/>
      <c r="BS977" s="149"/>
      <c r="BT977" s="136"/>
      <c r="BW977" s="135"/>
    </row>
    <row r="978" spans="40:76" x14ac:dyDescent="0.2">
      <c r="AN978" s="135"/>
      <c r="AO978" s="135"/>
      <c r="AP978" s="135"/>
      <c r="AQ978" s="135"/>
      <c r="AR978" s="135"/>
      <c r="AS978" s="135"/>
      <c r="AT978" s="135"/>
      <c r="AU978" s="135"/>
      <c r="AW978" s="135"/>
      <c r="AX978" s="135"/>
      <c r="AY978" s="135"/>
      <c r="AZ978" s="135"/>
      <c r="BA978" s="135"/>
      <c r="BB978" s="135"/>
      <c r="BC978" s="135"/>
      <c r="BK978" s="135"/>
      <c r="BN978" s="139"/>
      <c r="BO978" s="136"/>
      <c r="BQ978" s="148"/>
      <c r="BR978" s="136"/>
      <c r="BS978" s="149"/>
      <c r="BT978" s="136"/>
      <c r="BW978" s="135"/>
    </row>
    <row r="979" spans="40:76" x14ac:dyDescent="0.2">
      <c r="AN979" s="135"/>
      <c r="AO979" s="135"/>
      <c r="AP979" s="135"/>
      <c r="AQ979" s="135"/>
      <c r="AR979" s="135"/>
      <c r="AS979" s="135"/>
      <c r="AT979" s="135"/>
      <c r="AU979" s="135"/>
      <c r="AW979" s="135"/>
      <c r="AX979" s="135"/>
      <c r="AY979" s="135"/>
      <c r="AZ979" s="135"/>
      <c r="BA979" s="135"/>
      <c r="BB979" s="135"/>
      <c r="BC979" s="135"/>
      <c r="BK979" s="135"/>
      <c r="BN979" s="139"/>
      <c r="BO979" s="136"/>
      <c r="BQ979" s="148"/>
      <c r="BR979" s="136"/>
      <c r="BS979" s="149"/>
      <c r="BT979" s="136"/>
      <c r="BW979" s="135"/>
    </row>
    <row r="980" spans="40:76" x14ac:dyDescent="0.2">
      <c r="AN980" s="135"/>
      <c r="AO980" s="135"/>
      <c r="AP980" s="135"/>
      <c r="AQ980" s="135"/>
      <c r="AR980" s="135"/>
      <c r="AS980" s="135"/>
      <c r="AT980" s="135"/>
      <c r="AU980" s="135"/>
      <c r="AW980" s="135"/>
      <c r="AX980" s="135"/>
      <c r="AY980" s="135"/>
      <c r="AZ980" s="135"/>
      <c r="BA980" s="135"/>
      <c r="BB980" s="135"/>
      <c r="BC980" s="135"/>
      <c r="BK980" s="135"/>
      <c r="BN980" s="139"/>
      <c r="BO980" s="136"/>
      <c r="BQ980" s="148"/>
      <c r="BR980" s="136"/>
      <c r="BS980" s="149"/>
      <c r="BT980" s="136"/>
      <c r="BW980" s="135"/>
      <c r="BX980" s="369"/>
    </row>
    <row r="981" spans="40:76" x14ac:dyDescent="0.2">
      <c r="AN981" s="135"/>
      <c r="AO981" s="135"/>
      <c r="AP981" s="135"/>
      <c r="AQ981" s="135"/>
      <c r="AR981" s="135"/>
      <c r="AS981" s="135"/>
      <c r="AT981" s="135"/>
      <c r="AU981" s="135"/>
      <c r="BK981" s="135"/>
      <c r="BN981" s="139"/>
      <c r="BO981" s="136"/>
      <c r="BQ981" s="148"/>
      <c r="BR981" s="136"/>
      <c r="BS981" s="149"/>
      <c r="BT981" s="136"/>
      <c r="BW981" s="135"/>
      <c r="BX981" s="369"/>
    </row>
    <row r="982" spans="40:76" x14ac:dyDescent="0.2">
      <c r="AN982" s="135"/>
      <c r="AO982" s="135"/>
      <c r="AP982" s="135"/>
      <c r="AQ982" s="135"/>
      <c r="AR982" s="135"/>
      <c r="AS982" s="135"/>
      <c r="AT982" s="135"/>
      <c r="AU982" s="135"/>
      <c r="BK982" s="135"/>
      <c r="BN982" s="139"/>
      <c r="BO982" s="136"/>
      <c r="BQ982" s="148"/>
      <c r="BR982" s="136"/>
      <c r="BS982" s="149"/>
      <c r="BT982" s="136"/>
      <c r="BW982" s="135"/>
      <c r="BX982" s="369"/>
    </row>
    <row r="983" spans="40:76" x14ac:dyDescent="0.2">
      <c r="AN983" s="135"/>
      <c r="AO983" s="135"/>
      <c r="AP983" s="135"/>
      <c r="AQ983" s="135"/>
      <c r="AR983" s="135"/>
      <c r="AS983" s="135"/>
      <c r="AT983" s="135"/>
      <c r="AU983" s="135"/>
      <c r="BK983" s="135"/>
      <c r="BN983" s="139"/>
      <c r="BO983" s="136"/>
      <c r="BQ983" s="148"/>
      <c r="BR983" s="136"/>
      <c r="BS983" s="149"/>
      <c r="BT983" s="136"/>
      <c r="BW983" s="135"/>
      <c r="BX983" s="369"/>
    </row>
    <row r="984" spans="40:76" x14ac:dyDescent="0.2">
      <c r="AN984" s="135"/>
      <c r="AO984" s="135"/>
      <c r="AP984" s="135"/>
      <c r="AQ984" s="135"/>
      <c r="AR984" s="135"/>
      <c r="AS984" s="135"/>
      <c r="AT984" s="135"/>
      <c r="AU984" s="135"/>
      <c r="BK984" s="135"/>
      <c r="BN984" s="139"/>
      <c r="BO984" s="136"/>
      <c r="BQ984" s="148"/>
      <c r="BR984" s="136"/>
      <c r="BS984" s="149"/>
      <c r="BT984" s="136"/>
      <c r="BW984" s="135"/>
    </row>
    <row r="985" spans="40:76" x14ac:dyDescent="0.2">
      <c r="AN985" s="135"/>
      <c r="AO985" s="135"/>
      <c r="AP985" s="135"/>
      <c r="AQ985" s="135"/>
      <c r="AR985" s="135"/>
      <c r="AS985" s="135"/>
      <c r="AT985" s="135"/>
      <c r="AU985" s="135"/>
      <c r="BK985" s="135"/>
      <c r="BN985" s="139"/>
      <c r="BO985" s="136"/>
      <c r="BQ985" s="148"/>
      <c r="BR985" s="136"/>
      <c r="BS985" s="149"/>
      <c r="BT985" s="136"/>
      <c r="BW985" s="135"/>
    </row>
    <row r="986" spans="40:76" x14ac:dyDescent="0.2">
      <c r="AN986" s="135"/>
      <c r="AO986" s="135"/>
      <c r="AP986" s="135"/>
      <c r="AQ986" s="135"/>
      <c r="AR986" s="135"/>
      <c r="AS986" s="135"/>
      <c r="AT986" s="135"/>
      <c r="AU986" s="135"/>
      <c r="BK986" s="135"/>
      <c r="BN986" s="139"/>
      <c r="BO986" s="136"/>
      <c r="BQ986" s="148"/>
      <c r="BR986" s="136"/>
      <c r="BS986" s="149"/>
      <c r="BT986" s="136"/>
      <c r="BW986" s="135"/>
    </row>
    <row r="987" spans="40:76" x14ac:dyDescent="0.2">
      <c r="AN987" s="135"/>
      <c r="AO987" s="135"/>
      <c r="AP987" s="135"/>
      <c r="AQ987" s="135"/>
      <c r="AR987" s="135"/>
      <c r="AS987" s="135"/>
      <c r="AT987" s="135"/>
      <c r="AU987" s="135"/>
      <c r="BK987" s="135"/>
      <c r="BN987" s="139"/>
      <c r="BO987" s="136"/>
      <c r="BQ987" s="148"/>
      <c r="BR987" s="136"/>
      <c r="BS987" s="149"/>
      <c r="BT987" s="136"/>
      <c r="BW987" s="135"/>
    </row>
    <row r="988" spans="40:76" x14ac:dyDescent="0.2">
      <c r="AN988" s="135"/>
      <c r="AO988" s="135"/>
      <c r="AP988" s="135"/>
      <c r="AQ988" s="135"/>
      <c r="AR988" s="135"/>
      <c r="AS988" s="135"/>
      <c r="AT988" s="135"/>
      <c r="AU988" s="135"/>
      <c r="BK988" s="135"/>
      <c r="BN988" s="139"/>
      <c r="BO988" s="136"/>
      <c r="BQ988" s="148"/>
      <c r="BR988" s="136"/>
      <c r="BS988" s="149"/>
      <c r="BT988" s="136"/>
      <c r="BW988" s="135"/>
    </row>
    <row r="989" spans="40:76" x14ac:dyDescent="0.2">
      <c r="AN989" s="135"/>
      <c r="AO989" s="135"/>
      <c r="AP989" s="135"/>
      <c r="AQ989" s="135"/>
      <c r="AR989" s="135"/>
      <c r="AS989" s="135"/>
      <c r="AT989" s="135"/>
      <c r="AU989" s="135"/>
      <c r="BK989" s="135"/>
      <c r="BN989" s="139"/>
      <c r="BO989" s="136"/>
      <c r="BQ989" s="148"/>
      <c r="BR989" s="136"/>
      <c r="BS989" s="149"/>
      <c r="BT989" s="136"/>
      <c r="BW989" s="135"/>
    </row>
    <row r="990" spans="40:76" x14ac:dyDescent="0.2">
      <c r="AN990" s="135"/>
      <c r="AO990" s="135"/>
      <c r="AP990" s="135"/>
      <c r="AQ990" s="135"/>
      <c r="AR990" s="135"/>
      <c r="AS990" s="135"/>
      <c r="AT990" s="135"/>
      <c r="AU990" s="135"/>
      <c r="BK990" s="135"/>
      <c r="BN990" s="139"/>
      <c r="BO990" s="136"/>
      <c r="BQ990" s="148"/>
      <c r="BR990" s="136"/>
      <c r="BS990" s="149"/>
      <c r="BT990" s="136"/>
      <c r="BW990" s="135"/>
    </row>
    <row r="991" spans="40:76" x14ac:dyDescent="0.2">
      <c r="AN991" s="135"/>
      <c r="AO991" s="135"/>
      <c r="AP991" s="135"/>
      <c r="AQ991" s="135"/>
      <c r="AR991" s="135"/>
      <c r="AS991" s="135"/>
      <c r="AT991" s="135"/>
      <c r="AU991" s="135"/>
      <c r="BK991" s="135"/>
      <c r="BN991" s="139"/>
      <c r="BO991" s="136"/>
      <c r="BQ991" s="148"/>
      <c r="BR991" s="136"/>
      <c r="BS991" s="149"/>
      <c r="BT991" s="136"/>
      <c r="BW991" s="135"/>
    </row>
    <row r="992" spans="40:76" x14ac:dyDescent="0.2">
      <c r="AN992" s="135"/>
      <c r="AO992" s="135"/>
      <c r="AP992" s="135"/>
      <c r="AQ992" s="135"/>
      <c r="AR992" s="135"/>
      <c r="AS992" s="135"/>
      <c r="AT992" s="135"/>
      <c r="AU992" s="135"/>
      <c r="BK992" s="135"/>
      <c r="BN992" s="139"/>
      <c r="BO992" s="136"/>
      <c r="BQ992" s="148"/>
      <c r="BR992" s="136"/>
      <c r="BS992" s="149"/>
      <c r="BT992" s="136"/>
      <c r="BW992" s="135"/>
    </row>
    <row r="993" spans="63:75" x14ac:dyDescent="0.2">
      <c r="BK993" s="135"/>
      <c r="BN993" s="139"/>
      <c r="BO993" s="136"/>
      <c r="BQ993" s="148"/>
      <c r="BR993" s="136"/>
      <c r="BS993" s="149"/>
      <c r="BT993" s="136"/>
      <c r="BW993" s="135"/>
    </row>
    <row r="994" spans="63:75" x14ac:dyDescent="0.2">
      <c r="BK994" s="135"/>
      <c r="BN994" s="139"/>
      <c r="BO994" s="136"/>
      <c r="BQ994" s="148"/>
      <c r="BR994" s="136"/>
      <c r="BS994" s="149"/>
      <c r="BT994" s="136"/>
      <c r="BW994" s="135"/>
    </row>
    <row r="995" spans="63:75" x14ac:dyDescent="0.2">
      <c r="BK995" s="135"/>
      <c r="BN995" s="139"/>
      <c r="BO995" s="136"/>
      <c r="BQ995" s="148"/>
      <c r="BR995" s="136"/>
      <c r="BS995" s="149"/>
      <c r="BT995" s="136"/>
      <c r="BW995" s="135"/>
    </row>
    <row r="996" spans="63:75" x14ac:dyDescent="0.2">
      <c r="BK996" s="135"/>
      <c r="BN996" s="139"/>
      <c r="BO996" s="136"/>
      <c r="BQ996" s="148"/>
      <c r="BR996" s="136"/>
      <c r="BS996" s="149"/>
      <c r="BT996" s="136"/>
      <c r="BW996" s="135"/>
    </row>
    <row r="997" spans="63:75" x14ac:dyDescent="0.2">
      <c r="BK997" s="135"/>
      <c r="BN997" s="139"/>
      <c r="BO997" s="136"/>
      <c r="BQ997" s="148"/>
      <c r="BR997" s="136"/>
      <c r="BS997" s="149"/>
      <c r="BT997" s="136"/>
      <c r="BW997" s="135"/>
    </row>
    <row r="998" spans="63:75" x14ac:dyDescent="0.2">
      <c r="BK998" s="135"/>
      <c r="BN998" s="139"/>
      <c r="BO998" s="136"/>
      <c r="BQ998" s="148"/>
      <c r="BR998" s="136"/>
      <c r="BS998" s="149"/>
      <c r="BT998" s="136"/>
      <c r="BW998" s="135"/>
    </row>
    <row r="999" spans="63:75" x14ac:dyDescent="0.2">
      <c r="BK999" s="135"/>
      <c r="BN999" s="139"/>
      <c r="BO999" s="136"/>
      <c r="BQ999" s="148"/>
      <c r="BR999" s="136"/>
      <c r="BS999" s="149"/>
      <c r="BT999" s="136"/>
      <c r="BW999" s="135"/>
    </row>
    <row r="1000" spans="63:75" x14ac:dyDescent="0.2">
      <c r="BK1000" s="135"/>
      <c r="BN1000" s="139"/>
      <c r="BO1000" s="136"/>
      <c r="BQ1000" s="148"/>
      <c r="BR1000" s="136"/>
      <c r="BS1000" s="149"/>
      <c r="BT1000" s="136"/>
      <c r="BW1000" s="135"/>
    </row>
    <row r="1001" spans="63:75" x14ac:dyDescent="0.2">
      <c r="BK1001" s="135"/>
      <c r="BN1001" s="139"/>
      <c r="BO1001" s="136"/>
      <c r="BQ1001" s="148"/>
      <c r="BR1001" s="136"/>
      <c r="BS1001" s="149"/>
      <c r="BT1001" s="136"/>
      <c r="BW1001" s="135"/>
    </row>
    <row r="1002" spans="63:75" x14ac:dyDescent="0.2">
      <c r="BK1002" s="135"/>
      <c r="BN1002" s="139"/>
      <c r="BO1002" s="136"/>
      <c r="BQ1002" s="153"/>
      <c r="BR1002" s="136"/>
      <c r="BS1002" s="149"/>
      <c r="BT1002" s="136"/>
      <c r="BW1002" s="135"/>
    </row>
    <row r="1003" spans="63:75" x14ac:dyDescent="0.2">
      <c r="BK1003" s="135"/>
      <c r="BN1003" s="139"/>
      <c r="BO1003" s="136"/>
      <c r="BQ1003" s="153"/>
      <c r="BR1003" s="136"/>
      <c r="BS1003" s="149"/>
      <c r="BT1003" s="136"/>
      <c r="BW1003" s="135"/>
    </row>
    <row r="1004" spans="63:75" x14ac:dyDescent="0.2">
      <c r="BK1004" s="135"/>
      <c r="BN1004" s="139"/>
      <c r="BO1004" s="136"/>
      <c r="BQ1004" s="153"/>
      <c r="BR1004" s="136"/>
      <c r="BS1004" s="149"/>
      <c r="BT1004" s="136"/>
      <c r="BW1004" s="135"/>
    </row>
    <row r="1005" spans="63:75" x14ac:dyDescent="0.2">
      <c r="BK1005" s="135"/>
      <c r="BN1005" s="139"/>
      <c r="BO1005" s="136"/>
      <c r="BQ1005" s="153"/>
      <c r="BR1005" s="136"/>
      <c r="BS1005" s="149"/>
      <c r="BT1005" s="136"/>
      <c r="BW1005" s="135"/>
    </row>
    <row r="1006" spans="63:75" x14ac:dyDescent="0.2">
      <c r="BK1006" s="135"/>
      <c r="BN1006" s="139"/>
      <c r="BO1006" s="136"/>
      <c r="BQ1006" s="153"/>
      <c r="BR1006" s="136"/>
      <c r="BS1006" s="149"/>
      <c r="BT1006" s="136"/>
      <c r="BW1006" s="135"/>
    </row>
    <row r="1007" spans="63:75" x14ac:dyDescent="0.2">
      <c r="BK1007" s="135"/>
      <c r="BN1007" s="139"/>
      <c r="BO1007" s="136"/>
      <c r="BQ1007" s="153"/>
      <c r="BR1007" s="136"/>
      <c r="BS1007" s="149"/>
      <c r="BT1007" s="136"/>
      <c r="BW1007" s="135"/>
    </row>
    <row r="1008" spans="63:75" x14ac:dyDescent="0.2">
      <c r="BK1008" s="135"/>
      <c r="BN1008" s="139"/>
      <c r="BO1008" s="136"/>
      <c r="BQ1008" s="153"/>
      <c r="BR1008" s="136"/>
      <c r="BS1008" s="149"/>
      <c r="BT1008" s="136"/>
      <c r="BW1008" s="135"/>
    </row>
    <row r="1009" spans="63:75" x14ac:dyDescent="0.2">
      <c r="BK1009" s="135"/>
      <c r="BN1009" s="139"/>
      <c r="BO1009" s="136"/>
      <c r="BQ1009" s="153"/>
      <c r="BR1009" s="136"/>
      <c r="BS1009" s="149"/>
      <c r="BT1009" s="136"/>
      <c r="BW1009" s="135"/>
    </row>
    <row r="1010" spans="63:75" x14ac:dyDescent="0.2">
      <c r="BK1010" s="135"/>
      <c r="BN1010" s="139"/>
      <c r="BO1010" s="136"/>
      <c r="BQ1010" s="153"/>
      <c r="BR1010" s="136"/>
      <c r="BS1010" s="149"/>
      <c r="BT1010" s="136"/>
      <c r="BW1010" s="135"/>
    </row>
    <row r="1011" spans="63:75" x14ac:dyDescent="0.2">
      <c r="BK1011" s="135"/>
      <c r="BN1011" s="139"/>
      <c r="BO1011" s="136"/>
      <c r="BQ1011" s="153"/>
      <c r="BR1011" s="136"/>
      <c r="BS1011" s="149"/>
      <c r="BT1011" s="136"/>
      <c r="BW1011" s="135"/>
    </row>
    <row r="1012" spans="63:75" x14ac:dyDescent="0.2">
      <c r="BK1012" s="135"/>
      <c r="BN1012" s="139"/>
      <c r="BO1012" s="136"/>
      <c r="BQ1012" s="153"/>
      <c r="BR1012" s="136"/>
      <c r="BS1012" s="149"/>
      <c r="BT1012" s="136"/>
      <c r="BW1012" s="135"/>
    </row>
    <row r="1013" spans="63:75" x14ac:dyDescent="0.2">
      <c r="BK1013" s="135"/>
      <c r="BN1013" s="139"/>
      <c r="BO1013" s="136"/>
      <c r="BQ1013" s="153"/>
      <c r="BR1013" s="136"/>
      <c r="BS1013" s="149"/>
      <c r="BT1013" s="136"/>
      <c r="BW1013" s="135"/>
    </row>
    <row r="1014" spans="63:75" x14ac:dyDescent="0.2">
      <c r="BK1014" s="135"/>
      <c r="BN1014" s="139"/>
      <c r="BO1014" s="136"/>
      <c r="BQ1014" s="153"/>
      <c r="BR1014" s="136"/>
      <c r="BS1014" s="149"/>
      <c r="BT1014" s="136"/>
      <c r="BW1014" s="135"/>
    </row>
    <row r="1015" spans="63:75" x14ac:dyDescent="0.2">
      <c r="BK1015" s="135"/>
      <c r="BN1015" s="139"/>
      <c r="BO1015" s="136"/>
      <c r="BQ1015" s="153"/>
      <c r="BR1015" s="136"/>
      <c r="BS1015" s="149"/>
      <c r="BT1015" s="136"/>
      <c r="BW1015" s="135"/>
    </row>
    <row r="1016" spans="63:75" x14ac:dyDescent="0.2">
      <c r="BK1016" s="135"/>
      <c r="BN1016" s="139"/>
      <c r="BO1016" s="136"/>
      <c r="BQ1016" s="153"/>
      <c r="BR1016" s="136"/>
      <c r="BS1016" s="149"/>
      <c r="BT1016" s="136"/>
      <c r="BW1016" s="135"/>
    </row>
    <row r="1017" spans="63:75" x14ac:dyDescent="0.2">
      <c r="BK1017" s="135"/>
      <c r="BN1017" s="139"/>
      <c r="BO1017" s="136"/>
      <c r="BQ1017" s="153"/>
      <c r="BR1017" s="136"/>
      <c r="BS1017" s="149"/>
      <c r="BT1017" s="136"/>
      <c r="BW1017" s="135"/>
    </row>
    <row r="1018" spans="63:75" x14ac:dyDescent="0.2">
      <c r="BK1018" s="135"/>
      <c r="BN1018" s="139"/>
      <c r="BO1018" s="136"/>
      <c r="BQ1018" s="153"/>
      <c r="BR1018" s="136"/>
      <c r="BS1018" s="149"/>
      <c r="BT1018" s="136"/>
      <c r="BW1018" s="135"/>
    </row>
    <row r="1019" spans="63:75" x14ac:dyDescent="0.2">
      <c r="BK1019" s="135"/>
      <c r="BN1019" s="139"/>
      <c r="BO1019" s="136"/>
      <c r="BQ1019" s="153"/>
      <c r="BR1019" s="136"/>
      <c r="BS1019" s="149"/>
      <c r="BT1019" s="136"/>
      <c r="BW1019" s="135"/>
    </row>
    <row r="1020" spans="63:75" x14ac:dyDescent="0.2">
      <c r="BK1020" s="135"/>
      <c r="BN1020" s="139"/>
      <c r="BO1020" s="136"/>
      <c r="BQ1020" s="153"/>
      <c r="BR1020" s="136"/>
      <c r="BS1020" s="149"/>
      <c r="BT1020" s="136"/>
      <c r="BW1020" s="135"/>
    </row>
    <row r="1021" spans="63:75" x14ac:dyDescent="0.2">
      <c r="BK1021" s="135"/>
      <c r="BN1021" s="139"/>
      <c r="BO1021" s="136"/>
      <c r="BQ1021" s="153"/>
      <c r="BR1021" s="136"/>
      <c r="BS1021" s="149"/>
      <c r="BT1021" s="136"/>
      <c r="BW1021" s="135"/>
    </row>
    <row r="1022" spans="63:75" x14ac:dyDescent="0.2">
      <c r="BK1022" s="135"/>
      <c r="BN1022" s="139"/>
      <c r="BO1022" s="136"/>
      <c r="BQ1022" s="153"/>
      <c r="BR1022" s="136"/>
      <c r="BS1022" s="149"/>
      <c r="BT1022" s="136"/>
      <c r="BW1022" s="135"/>
    </row>
    <row r="1023" spans="63:75" x14ac:dyDescent="0.2">
      <c r="BK1023" s="135"/>
      <c r="BN1023" s="139"/>
      <c r="BO1023" s="136"/>
      <c r="BQ1023" s="153"/>
      <c r="BR1023" s="136"/>
      <c r="BS1023" s="149"/>
      <c r="BT1023" s="136"/>
      <c r="BW1023" s="135"/>
    </row>
    <row r="1024" spans="63:75" x14ac:dyDescent="0.2">
      <c r="BK1024" s="135"/>
      <c r="BN1024" s="139"/>
      <c r="BO1024" s="136"/>
      <c r="BQ1024" s="153"/>
      <c r="BR1024" s="136"/>
      <c r="BS1024" s="149"/>
      <c r="BT1024" s="136"/>
      <c r="BW1024" s="135"/>
    </row>
    <row r="1025" spans="40:76" x14ac:dyDescent="0.2">
      <c r="BK1025" s="135"/>
      <c r="BN1025" s="139"/>
      <c r="BO1025" s="136"/>
      <c r="BQ1025" s="153"/>
      <c r="BR1025" s="136"/>
      <c r="BS1025" s="149"/>
      <c r="BT1025" s="136"/>
      <c r="BW1025" s="135"/>
    </row>
    <row r="1026" spans="40:76" x14ac:dyDescent="0.2">
      <c r="BK1026" s="135"/>
      <c r="BN1026" s="139"/>
      <c r="BO1026" s="136"/>
      <c r="BQ1026" s="153"/>
      <c r="BR1026" s="136"/>
      <c r="BS1026" s="149"/>
      <c r="BT1026" s="136"/>
      <c r="BW1026" s="135"/>
    </row>
    <row r="1027" spans="40:76" x14ac:dyDescent="0.2">
      <c r="BK1027" s="135"/>
      <c r="BN1027" s="139"/>
      <c r="BO1027" s="136"/>
      <c r="BQ1027" s="153"/>
      <c r="BR1027" s="136"/>
      <c r="BS1027" s="149"/>
      <c r="BT1027" s="136"/>
      <c r="BW1027" s="135"/>
    </row>
    <row r="1028" spans="40:76" x14ac:dyDescent="0.2">
      <c r="BK1028" s="135"/>
      <c r="BN1028" s="139"/>
      <c r="BO1028" s="136"/>
      <c r="BQ1028" s="153"/>
      <c r="BR1028" s="136"/>
      <c r="BS1028" s="149"/>
      <c r="BT1028" s="136"/>
      <c r="BW1028" s="135"/>
      <c r="BX1028" s="369"/>
    </row>
    <row r="1029" spans="40:76" x14ac:dyDescent="0.2">
      <c r="BK1029" s="135"/>
      <c r="BN1029" s="139"/>
      <c r="BO1029" s="136"/>
      <c r="BQ1029" s="153"/>
      <c r="BR1029" s="136"/>
      <c r="BS1029" s="149"/>
      <c r="BT1029" s="136"/>
      <c r="BW1029" s="135"/>
      <c r="BX1029" s="369"/>
    </row>
    <row r="1030" spans="40:76" x14ac:dyDescent="0.2">
      <c r="BK1030" s="135"/>
      <c r="BN1030" s="139"/>
      <c r="BO1030" s="136"/>
      <c r="BQ1030" s="153"/>
      <c r="BR1030" s="136"/>
      <c r="BS1030" s="149"/>
      <c r="BT1030" s="136"/>
      <c r="BW1030" s="135"/>
      <c r="BX1030" s="369"/>
    </row>
    <row r="1031" spans="40:76" x14ac:dyDescent="0.2">
      <c r="AN1031" s="149"/>
      <c r="AO1031" s="149"/>
      <c r="AP1031" s="149"/>
      <c r="AQ1031" s="149"/>
      <c r="AR1031" s="149"/>
      <c r="AS1031" s="149"/>
      <c r="AT1031" s="149"/>
      <c r="AU1031" s="149"/>
      <c r="BK1031" s="135"/>
      <c r="BN1031" s="139"/>
      <c r="BO1031" s="136"/>
      <c r="BQ1031" s="153"/>
      <c r="BR1031" s="136"/>
      <c r="BS1031" s="149"/>
      <c r="BT1031" s="136"/>
      <c r="BW1031" s="135"/>
      <c r="BX1031" s="369"/>
    </row>
    <row r="1032" spans="40:76" x14ac:dyDescent="0.2">
      <c r="BK1032" s="135"/>
      <c r="BN1032" s="139"/>
      <c r="BO1032" s="136"/>
      <c r="BQ1032" s="153"/>
      <c r="BR1032" s="136"/>
      <c r="BS1032" s="149"/>
      <c r="BT1032" s="136"/>
      <c r="BW1032" s="135"/>
    </row>
    <row r="1033" spans="40:76" x14ac:dyDescent="0.2">
      <c r="BK1033" s="135"/>
      <c r="BN1033" s="139"/>
      <c r="BO1033" s="136"/>
      <c r="BQ1033" s="153"/>
      <c r="BR1033" s="136"/>
      <c r="BS1033" s="149"/>
      <c r="BT1033" s="136"/>
      <c r="BW1033" s="135"/>
    </row>
    <row r="1034" spans="40:76" x14ac:dyDescent="0.2">
      <c r="BK1034" s="135"/>
      <c r="BN1034" s="139"/>
      <c r="BO1034" s="136"/>
      <c r="BQ1034" s="153"/>
      <c r="BR1034" s="136"/>
      <c r="BS1034" s="149"/>
      <c r="BT1034" s="136"/>
      <c r="BW1034" s="135"/>
    </row>
    <row r="1035" spans="40:76" x14ac:dyDescent="0.2">
      <c r="BK1035" s="135"/>
      <c r="BN1035" s="139"/>
      <c r="BO1035" s="136"/>
      <c r="BQ1035" s="153"/>
      <c r="BR1035" s="136"/>
      <c r="BS1035" s="149"/>
      <c r="BT1035" s="136"/>
      <c r="BW1035" s="135"/>
    </row>
    <row r="1036" spans="40:76" x14ac:dyDescent="0.2">
      <c r="BK1036" s="135"/>
      <c r="BN1036" s="139"/>
      <c r="BO1036" s="136"/>
      <c r="BQ1036" s="153"/>
      <c r="BR1036" s="136"/>
      <c r="BS1036" s="149"/>
      <c r="BT1036" s="136"/>
      <c r="BW1036" s="135"/>
    </row>
    <row r="1037" spans="40:76" x14ac:dyDescent="0.2">
      <c r="BK1037" s="135"/>
      <c r="BN1037" s="139"/>
      <c r="BO1037" s="136"/>
      <c r="BQ1037" s="153"/>
      <c r="BR1037" s="136"/>
      <c r="BS1037" s="149"/>
      <c r="BT1037" s="136"/>
      <c r="BW1037" s="135"/>
    </row>
    <row r="1038" spans="40:76" x14ac:dyDescent="0.2">
      <c r="BK1038" s="135"/>
      <c r="BN1038" s="139"/>
      <c r="BO1038" s="136"/>
      <c r="BQ1038" s="153"/>
      <c r="BR1038" s="136"/>
      <c r="BS1038" s="149"/>
      <c r="BT1038" s="136"/>
      <c r="BW1038" s="135"/>
    </row>
    <row r="1039" spans="40:76" x14ac:dyDescent="0.2">
      <c r="BK1039" s="135"/>
      <c r="BN1039" s="139"/>
      <c r="BO1039" s="136"/>
      <c r="BQ1039" s="153"/>
      <c r="BR1039" s="136"/>
      <c r="BS1039" s="149"/>
      <c r="BT1039" s="136"/>
      <c r="BW1039" s="135"/>
    </row>
    <row r="1040" spans="40:76" x14ac:dyDescent="0.2">
      <c r="BK1040" s="135"/>
      <c r="BN1040" s="139"/>
      <c r="BO1040" s="136"/>
      <c r="BQ1040" s="153"/>
      <c r="BR1040" s="136"/>
      <c r="BS1040" s="149"/>
      <c r="BT1040" s="136"/>
      <c r="BW1040" s="135"/>
    </row>
    <row r="1041" spans="63:75" x14ac:dyDescent="0.2">
      <c r="BK1041" s="135"/>
      <c r="BN1041" s="139"/>
      <c r="BO1041" s="136"/>
      <c r="BQ1041" s="153"/>
      <c r="BR1041" s="136"/>
      <c r="BS1041" s="149"/>
      <c r="BT1041" s="136"/>
      <c r="BW1041" s="135"/>
    </row>
    <row r="1042" spans="63:75" x14ac:dyDescent="0.2">
      <c r="BK1042" s="135"/>
      <c r="BN1042" s="139"/>
      <c r="BO1042" s="136"/>
      <c r="BQ1042" s="153"/>
      <c r="BR1042" s="136"/>
      <c r="BS1042" s="149"/>
      <c r="BT1042" s="136"/>
      <c r="BW1042" s="135"/>
    </row>
    <row r="1043" spans="63:75" x14ac:dyDescent="0.2">
      <c r="BK1043" s="135"/>
      <c r="BN1043" s="139"/>
      <c r="BO1043" s="136"/>
      <c r="BQ1043" s="153"/>
      <c r="BR1043" s="136"/>
      <c r="BS1043" s="149"/>
      <c r="BT1043" s="136"/>
      <c r="BW1043" s="135"/>
    </row>
    <row r="1044" spans="63:75" x14ac:dyDescent="0.2">
      <c r="BK1044" s="135"/>
      <c r="BN1044" s="139"/>
      <c r="BO1044" s="136"/>
      <c r="BQ1044" s="153"/>
      <c r="BR1044" s="136"/>
      <c r="BS1044" s="149"/>
      <c r="BT1044" s="136"/>
      <c r="BW1044" s="135"/>
    </row>
    <row r="1045" spans="63:75" x14ac:dyDescent="0.2">
      <c r="BK1045" s="135"/>
      <c r="BN1045" s="139"/>
      <c r="BO1045" s="136"/>
      <c r="BQ1045" s="153"/>
      <c r="BR1045" s="136"/>
      <c r="BS1045" s="149"/>
      <c r="BT1045" s="136"/>
      <c r="BW1045" s="135"/>
    </row>
    <row r="1046" spans="63:75" x14ac:dyDescent="0.2">
      <c r="BK1046" s="135"/>
      <c r="BN1046" s="139"/>
      <c r="BO1046" s="136"/>
      <c r="BQ1046" s="153"/>
      <c r="BR1046" s="136"/>
      <c r="BS1046" s="149"/>
      <c r="BT1046" s="136"/>
      <c r="BW1046" s="135"/>
    </row>
    <row r="1047" spans="63:75" x14ac:dyDescent="0.2">
      <c r="BK1047" s="135"/>
      <c r="BN1047" s="139"/>
      <c r="BO1047" s="136"/>
      <c r="BQ1047" s="153"/>
      <c r="BR1047" s="136"/>
      <c r="BS1047" s="149"/>
      <c r="BT1047" s="136"/>
      <c r="BW1047" s="135"/>
    </row>
    <row r="1048" spans="63:75" x14ac:dyDescent="0.2">
      <c r="BK1048" s="135"/>
      <c r="BN1048" s="139"/>
      <c r="BO1048" s="136"/>
      <c r="BQ1048" s="153"/>
      <c r="BR1048" s="136"/>
      <c r="BS1048" s="149"/>
      <c r="BT1048" s="136"/>
      <c r="BW1048" s="135"/>
    </row>
    <row r="1049" spans="63:75" x14ac:dyDescent="0.2">
      <c r="BK1049" s="135"/>
      <c r="BN1049" s="139"/>
      <c r="BO1049" s="136"/>
      <c r="BQ1049" s="153"/>
      <c r="BR1049" s="136"/>
      <c r="BS1049" s="149"/>
      <c r="BT1049" s="136"/>
      <c r="BW1049" s="135"/>
    </row>
    <row r="1050" spans="63:75" x14ac:dyDescent="0.2">
      <c r="BK1050" s="135"/>
      <c r="BN1050" s="139"/>
      <c r="BO1050" s="136"/>
      <c r="BQ1050" s="153"/>
      <c r="BR1050" s="136"/>
      <c r="BS1050" s="149"/>
      <c r="BT1050" s="136"/>
      <c r="BW1050" s="135"/>
    </row>
    <row r="1051" spans="63:75" x14ac:dyDescent="0.2">
      <c r="BK1051" s="135"/>
      <c r="BN1051" s="139"/>
      <c r="BO1051" s="136"/>
      <c r="BQ1051" s="153"/>
      <c r="BR1051" s="136"/>
      <c r="BS1051" s="149"/>
      <c r="BT1051" s="136"/>
      <c r="BW1051" s="135"/>
    </row>
    <row r="1052" spans="63:75" x14ac:dyDescent="0.2">
      <c r="BK1052" s="135"/>
      <c r="BN1052" s="139"/>
      <c r="BO1052" s="136"/>
      <c r="BQ1052" s="153"/>
      <c r="BR1052" s="136"/>
      <c r="BS1052" s="149"/>
      <c r="BT1052" s="136"/>
      <c r="BW1052" s="135"/>
    </row>
    <row r="1053" spans="63:75" x14ac:dyDescent="0.2">
      <c r="BK1053" s="135"/>
      <c r="BN1053" s="139"/>
      <c r="BO1053" s="136"/>
      <c r="BQ1053" s="153"/>
      <c r="BR1053" s="136"/>
      <c r="BS1053" s="149"/>
      <c r="BT1053" s="136"/>
      <c r="BW1053" s="135"/>
    </row>
    <row r="1054" spans="63:75" x14ac:dyDescent="0.2">
      <c r="BK1054" s="135"/>
      <c r="BN1054" s="139"/>
      <c r="BO1054" s="136"/>
      <c r="BQ1054" s="153"/>
      <c r="BR1054" s="136"/>
      <c r="BS1054" s="149"/>
      <c r="BT1054" s="136"/>
      <c r="BW1054" s="135"/>
    </row>
    <row r="1055" spans="63:75" x14ac:dyDescent="0.2">
      <c r="BK1055" s="135"/>
      <c r="BN1055" s="139"/>
      <c r="BO1055" s="136"/>
      <c r="BQ1055" s="153"/>
      <c r="BR1055" s="136"/>
      <c r="BS1055" s="149"/>
      <c r="BT1055" s="136"/>
      <c r="BW1055" s="135"/>
    </row>
    <row r="1056" spans="63:75" x14ac:dyDescent="0.2">
      <c r="BK1056" s="135"/>
      <c r="BN1056" s="139"/>
      <c r="BO1056" s="136"/>
      <c r="BQ1056" s="153"/>
      <c r="BR1056" s="136"/>
      <c r="BS1056" s="149"/>
      <c r="BT1056" s="136"/>
      <c r="BW1056" s="135"/>
    </row>
    <row r="1057" spans="63:75" x14ac:dyDescent="0.2">
      <c r="BK1057" s="135"/>
      <c r="BN1057" s="139"/>
      <c r="BO1057" s="136"/>
      <c r="BQ1057" s="153"/>
      <c r="BR1057" s="136"/>
      <c r="BS1057" s="149"/>
      <c r="BT1057" s="136"/>
      <c r="BW1057" s="135"/>
    </row>
    <row r="1058" spans="63:75" x14ac:dyDescent="0.2">
      <c r="BK1058" s="135"/>
      <c r="BN1058" s="139"/>
      <c r="BO1058" s="136"/>
      <c r="BQ1058" s="153"/>
      <c r="BR1058" s="136"/>
      <c r="BS1058" s="149"/>
      <c r="BT1058" s="136"/>
      <c r="BW1058" s="135"/>
    </row>
    <row r="1059" spans="63:75" x14ac:dyDescent="0.2">
      <c r="BK1059" s="135"/>
      <c r="BN1059" s="139"/>
      <c r="BO1059" s="136"/>
      <c r="BQ1059" s="153"/>
      <c r="BR1059" s="136"/>
      <c r="BS1059" s="149"/>
      <c r="BT1059" s="136"/>
      <c r="BW1059" s="135"/>
    </row>
    <row r="1060" spans="63:75" x14ac:dyDescent="0.2">
      <c r="BK1060" s="135"/>
      <c r="BN1060" s="139"/>
      <c r="BO1060" s="136"/>
      <c r="BQ1060" s="153"/>
      <c r="BR1060" s="136"/>
      <c r="BS1060" s="149"/>
      <c r="BT1060" s="136"/>
      <c r="BW1060" s="135"/>
    </row>
    <row r="1061" spans="63:75" x14ac:dyDescent="0.2">
      <c r="BK1061" s="135"/>
      <c r="BN1061" s="139"/>
      <c r="BO1061" s="136"/>
      <c r="BQ1061" s="153"/>
      <c r="BR1061" s="136"/>
      <c r="BS1061" s="149"/>
      <c r="BT1061" s="136"/>
      <c r="BW1061" s="135"/>
    </row>
    <row r="1062" spans="63:75" x14ac:dyDescent="0.2">
      <c r="BK1062" s="135"/>
      <c r="BN1062" s="139"/>
      <c r="BO1062" s="136"/>
      <c r="BQ1062" s="153"/>
      <c r="BR1062" s="136"/>
      <c r="BS1062" s="149"/>
      <c r="BT1062" s="136"/>
      <c r="BW1062" s="135"/>
    </row>
    <row r="1063" spans="63:75" x14ac:dyDescent="0.2">
      <c r="BK1063" s="135"/>
      <c r="BN1063" s="139"/>
      <c r="BO1063" s="136"/>
      <c r="BQ1063" s="153"/>
      <c r="BR1063" s="136"/>
      <c r="BS1063" s="149"/>
      <c r="BT1063" s="136"/>
      <c r="BW1063" s="135"/>
    </row>
    <row r="1064" spans="63:75" x14ac:dyDescent="0.2">
      <c r="BK1064" s="135"/>
      <c r="BN1064" s="139"/>
      <c r="BO1064" s="136"/>
      <c r="BQ1064" s="153"/>
      <c r="BR1064" s="136"/>
      <c r="BS1064" s="149"/>
      <c r="BT1064" s="136"/>
      <c r="BW1064" s="135"/>
    </row>
    <row r="1065" spans="63:75" x14ac:dyDescent="0.2">
      <c r="BK1065" s="135"/>
      <c r="BN1065" s="139"/>
      <c r="BO1065" s="136"/>
      <c r="BQ1065" s="153"/>
      <c r="BR1065" s="136"/>
      <c r="BS1065" s="149"/>
      <c r="BT1065" s="136"/>
      <c r="BW1065" s="135"/>
    </row>
    <row r="1066" spans="63:75" x14ac:dyDescent="0.2">
      <c r="BK1066" s="135"/>
      <c r="BN1066" s="139"/>
      <c r="BO1066" s="136"/>
      <c r="BQ1066" s="153"/>
      <c r="BR1066" s="136"/>
      <c r="BS1066" s="149"/>
      <c r="BT1066" s="136"/>
      <c r="BW1066" s="135"/>
    </row>
    <row r="1067" spans="63:75" x14ac:dyDescent="0.2">
      <c r="BK1067" s="135"/>
      <c r="BN1067" s="139"/>
      <c r="BO1067" s="136"/>
      <c r="BQ1067" s="153"/>
      <c r="BR1067" s="136"/>
      <c r="BS1067" s="149"/>
      <c r="BT1067" s="136"/>
      <c r="BW1067" s="135"/>
    </row>
    <row r="1068" spans="63:75" x14ac:dyDescent="0.2">
      <c r="BK1068" s="135"/>
      <c r="BN1068" s="139"/>
      <c r="BO1068" s="136"/>
      <c r="BQ1068" s="153"/>
      <c r="BR1068" s="136"/>
      <c r="BS1068" s="149"/>
      <c r="BT1068" s="136"/>
      <c r="BW1068" s="135"/>
    </row>
    <row r="1069" spans="63:75" x14ac:dyDescent="0.2">
      <c r="BK1069" s="135"/>
      <c r="BN1069" s="139"/>
      <c r="BO1069" s="136"/>
      <c r="BQ1069" s="153"/>
      <c r="BR1069" s="136"/>
      <c r="BS1069" s="149"/>
      <c r="BT1069" s="136"/>
      <c r="BW1069" s="135"/>
    </row>
    <row r="1070" spans="63:75" x14ac:dyDescent="0.2">
      <c r="BK1070" s="135"/>
      <c r="BN1070" s="139"/>
      <c r="BO1070" s="136"/>
      <c r="BQ1070" s="153"/>
      <c r="BR1070" s="136"/>
      <c r="BS1070" s="149"/>
      <c r="BT1070" s="136"/>
      <c r="BW1070" s="135"/>
    </row>
    <row r="1071" spans="63:75" x14ac:dyDescent="0.2">
      <c r="BK1071" s="135"/>
      <c r="BN1071" s="139"/>
      <c r="BO1071" s="136"/>
      <c r="BQ1071" s="153"/>
      <c r="BR1071" s="136"/>
      <c r="BS1071" s="149"/>
      <c r="BT1071" s="136"/>
      <c r="BW1071" s="135"/>
    </row>
    <row r="1072" spans="63:75" x14ac:dyDescent="0.2">
      <c r="BK1072" s="135"/>
      <c r="BN1072" s="139"/>
      <c r="BO1072" s="136"/>
      <c r="BQ1072" s="153"/>
      <c r="BR1072" s="136"/>
      <c r="BS1072" s="149"/>
      <c r="BT1072" s="136"/>
      <c r="BW1072" s="135"/>
    </row>
    <row r="1073" spans="63:76" x14ac:dyDescent="0.2">
      <c r="BK1073" s="135"/>
      <c r="BN1073" s="139"/>
      <c r="BO1073" s="136"/>
      <c r="BQ1073" s="153"/>
      <c r="BR1073" s="136"/>
      <c r="BS1073" s="149"/>
      <c r="BT1073" s="136"/>
      <c r="BW1073" s="135"/>
    </row>
    <row r="1074" spans="63:76" x14ac:dyDescent="0.2">
      <c r="BK1074" s="135"/>
      <c r="BN1074" s="139"/>
      <c r="BO1074" s="136"/>
      <c r="BQ1074" s="153"/>
      <c r="BR1074" s="136"/>
      <c r="BS1074" s="149"/>
      <c r="BT1074" s="136"/>
      <c r="BW1074" s="135"/>
    </row>
    <row r="1075" spans="63:76" x14ac:dyDescent="0.2">
      <c r="BK1075" s="135"/>
      <c r="BN1075" s="139"/>
      <c r="BO1075" s="136"/>
      <c r="BQ1075" s="153"/>
      <c r="BR1075" s="136"/>
      <c r="BS1075" s="149"/>
      <c r="BT1075" s="136"/>
      <c r="BW1075" s="135"/>
    </row>
    <row r="1076" spans="63:76" x14ac:dyDescent="0.2">
      <c r="BK1076" s="135"/>
      <c r="BN1076" s="139"/>
      <c r="BO1076" s="136"/>
      <c r="BQ1076" s="153"/>
      <c r="BR1076" s="136"/>
      <c r="BS1076" s="149"/>
      <c r="BT1076" s="136"/>
      <c r="BW1076" s="135"/>
    </row>
    <row r="1077" spans="63:76" x14ac:dyDescent="0.2">
      <c r="BK1077" s="135"/>
      <c r="BN1077" s="139"/>
      <c r="BO1077" s="136"/>
      <c r="BQ1077" s="153"/>
      <c r="BR1077" s="136"/>
      <c r="BS1077" s="149"/>
      <c r="BT1077" s="136"/>
      <c r="BW1077" s="135"/>
      <c r="BX1077" s="369"/>
    </row>
    <row r="1078" spans="63:76" x14ac:dyDescent="0.2">
      <c r="BK1078" s="135"/>
      <c r="BN1078" s="139"/>
      <c r="BO1078" s="136"/>
      <c r="BQ1078" s="153"/>
      <c r="BR1078" s="136"/>
      <c r="BS1078" s="149"/>
      <c r="BT1078" s="136"/>
      <c r="BW1078" s="135"/>
      <c r="BX1078" s="369"/>
    </row>
    <row r="1079" spans="63:76" x14ac:dyDescent="0.2">
      <c r="BK1079" s="135"/>
      <c r="BN1079" s="139"/>
      <c r="BO1079" s="136"/>
      <c r="BQ1079" s="153"/>
      <c r="BR1079" s="136"/>
      <c r="BS1079" s="149"/>
      <c r="BT1079" s="136"/>
      <c r="BW1079" s="135"/>
      <c r="BX1079" s="369"/>
    </row>
    <row r="1080" spans="63:76" x14ac:dyDescent="0.2">
      <c r="BK1080" s="135"/>
      <c r="BN1080" s="139"/>
      <c r="BO1080" s="136"/>
      <c r="BQ1080" s="153"/>
      <c r="BR1080" s="136"/>
      <c r="BS1080" s="149"/>
      <c r="BT1080" s="136"/>
      <c r="BW1080" s="135"/>
      <c r="BX1080" s="369"/>
    </row>
    <row r="1081" spans="63:76" x14ac:dyDescent="0.2">
      <c r="BK1081" s="135"/>
      <c r="BN1081" s="139"/>
      <c r="BO1081" s="136"/>
      <c r="BQ1081" s="153"/>
      <c r="BR1081" s="136"/>
      <c r="BS1081" s="149"/>
      <c r="BT1081" s="136"/>
      <c r="BW1081" s="135"/>
    </row>
    <row r="1082" spans="63:76" x14ac:dyDescent="0.2">
      <c r="BK1082" s="135"/>
      <c r="BN1082" s="139"/>
      <c r="BO1082" s="136"/>
      <c r="BQ1082" s="153"/>
      <c r="BR1082" s="136"/>
      <c r="BS1082" s="149"/>
      <c r="BT1082" s="136"/>
      <c r="BW1082" s="135"/>
    </row>
    <row r="1083" spans="63:76" x14ac:dyDescent="0.2">
      <c r="BK1083" s="135"/>
      <c r="BN1083" s="139"/>
      <c r="BO1083" s="136"/>
      <c r="BQ1083" s="153"/>
      <c r="BR1083" s="136"/>
      <c r="BS1083" s="149"/>
      <c r="BT1083" s="136"/>
      <c r="BW1083" s="135"/>
    </row>
    <row r="1084" spans="63:76" x14ac:dyDescent="0.2">
      <c r="BK1084" s="135"/>
      <c r="BN1084" s="139"/>
      <c r="BO1084" s="136"/>
      <c r="BQ1084" s="153"/>
      <c r="BR1084" s="136"/>
      <c r="BS1084" s="149"/>
      <c r="BT1084" s="136"/>
      <c r="BW1084" s="135"/>
    </row>
    <row r="1085" spans="63:76" x14ac:dyDescent="0.2">
      <c r="BK1085" s="135"/>
      <c r="BN1085" s="139"/>
      <c r="BO1085" s="136"/>
      <c r="BQ1085" s="153"/>
      <c r="BR1085" s="136"/>
      <c r="BS1085" s="149"/>
      <c r="BT1085" s="136"/>
      <c r="BW1085" s="135"/>
    </row>
    <row r="1086" spans="63:76" x14ac:dyDescent="0.2">
      <c r="BK1086" s="135"/>
      <c r="BN1086" s="139"/>
      <c r="BO1086" s="136"/>
      <c r="BQ1086" s="153"/>
      <c r="BR1086" s="136"/>
      <c r="BS1086" s="149"/>
      <c r="BT1086" s="136"/>
      <c r="BW1086" s="135"/>
    </row>
    <row r="1087" spans="63:76" x14ac:dyDescent="0.2">
      <c r="BK1087" s="135"/>
      <c r="BN1087" s="139"/>
      <c r="BO1087" s="136"/>
      <c r="BQ1087" s="153"/>
      <c r="BR1087" s="136"/>
      <c r="BS1087" s="149"/>
      <c r="BT1087" s="136"/>
      <c r="BW1087" s="135"/>
    </row>
    <row r="1088" spans="63:76" x14ac:dyDescent="0.2">
      <c r="BK1088" s="135"/>
      <c r="BN1088" s="139"/>
      <c r="BO1088" s="136"/>
      <c r="BQ1088" s="153"/>
      <c r="BR1088" s="136"/>
      <c r="BS1088" s="149"/>
      <c r="BT1088" s="136"/>
      <c r="BW1088" s="135"/>
    </row>
    <row r="1089" spans="63:75" x14ac:dyDescent="0.2">
      <c r="BK1089" s="135"/>
      <c r="BN1089" s="139"/>
      <c r="BO1089" s="136"/>
      <c r="BQ1089" s="153"/>
      <c r="BR1089" s="136"/>
      <c r="BS1089" s="149"/>
      <c r="BT1089" s="136"/>
      <c r="BW1089" s="135"/>
    </row>
    <row r="1090" spans="63:75" x14ac:dyDescent="0.2">
      <c r="BK1090" s="135"/>
      <c r="BN1090" s="139"/>
      <c r="BO1090" s="136"/>
      <c r="BQ1090" s="153"/>
      <c r="BR1090" s="136"/>
      <c r="BS1090" s="149"/>
      <c r="BT1090" s="136"/>
      <c r="BW1090" s="135"/>
    </row>
    <row r="1091" spans="63:75" x14ac:dyDescent="0.2">
      <c r="BK1091" s="135"/>
      <c r="BN1091" s="139"/>
      <c r="BO1091" s="136"/>
      <c r="BQ1091" s="153"/>
      <c r="BR1091" s="136"/>
      <c r="BS1091" s="149"/>
      <c r="BT1091" s="136"/>
      <c r="BW1091" s="135"/>
    </row>
    <row r="1092" spans="63:75" x14ac:dyDescent="0.2">
      <c r="BK1092" s="135"/>
      <c r="BN1092" s="139"/>
      <c r="BO1092" s="136"/>
      <c r="BQ1092" s="153"/>
      <c r="BR1092" s="136"/>
      <c r="BS1092" s="149"/>
      <c r="BT1092" s="136"/>
      <c r="BW1092" s="135"/>
    </row>
    <row r="1093" spans="63:75" x14ac:dyDescent="0.2">
      <c r="BK1093" s="135"/>
      <c r="BN1093" s="139"/>
      <c r="BO1093" s="136"/>
      <c r="BQ1093" s="153"/>
      <c r="BR1093" s="136"/>
      <c r="BS1093" s="149"/>
      <c r="BT1093" s="136"/>
      <c r="BW1093" s="135"/>
    </row>
    <row r="1094" spans="63:75" x14ac:dyDescent="0.2">
      <c r="BK1094" s="135"/>
      <c r="BN1094" s="139"/>
      <c r="BO1094" s="136"/>
      <c r="BQ1094" s="153"/>
      <c r="BR1094" s="136"/>
      <c r="BS1094" s="149"/>
      <c r="BT1094" s="136"/>
      <c r="BW1094" s="135"/>
    </row>
    <row r="1095" spans="63:75" x14ac:dyDescent="0.2">
      <c r="BK1095" s="135"/>
      <c r="BN1095" s="139"/>
      <c r="BO1095" s="136"/>
      <c r="BQ1095" s="153"/>
      <c r="BR1095" s="136"/>
      <c r="BS1095" s="149"/>
      <c r="BT1095" s="136"/>
      <c r="BW1095" s="135"/>
    </row>
    <row r="1096" spans="63:75" x14ac:dyDescent="0.2">
      <c r="BK1096" s="135"/>
      <c r="BN1096" s="139"/>
      <c r="BO1096" s="136"/>
      <c r="BQ1096" s="153"/>
      <c r="BR1096" s="136"/>
      <c r="BS1096" s="149"/>
      <c r="BT1096" s="136"/>
      <c r="BW1096" s="135"/>
    </row>
    <row r="1097" spans="63:75" x14ac:dyDescent="0.2">
      <c r="BK1097" s="135"/>
      <c r="BN1097" s="139"/>
      <c r="BO1097" s="136"/>
      <c r="BQ1097" s="153"/>
      <c r="BR1097" s="136"/>
      <c r="BS1097" s="149"/>
      <c r="BT1097" s="136"/>
      <c r="BW1097" s="135"/>
    </row>
    <row r="1098" spans="63:75" x14ac:dyDescent="0.2">
      <c r="BK1098" s="135"/>
      <c r="BN1098" s="139"/>
      <c r="BO1098" s="136"/>
      <c r="BQ1098" s="153"/>
      <c r="BR1098" s="136"/>
      <c r="BS1098" s="149"/>
      <c r="BT1098" s="136"/>
      <c r="BW1098" s="135"/>
    </row>
    <row r="1099" spans="63:75" x14ac:dyDescent="0.2">
      <c r="BK1099" s="135"/>
      <c r="BN1099" s="139"/>
      <c r="BO1099" s="136"/>
      <c r="BQ1099" s="153"/>
      <c r="BR1099" s="136"/>
      <c r="BS1099" s="149"/>
      <c r="BT1099" s="136"/>
      <c r="BW1099" s="135"/>
    </row>
    <row r="1100" spans="63:75" x14ac:dyDescent="0.2">
      <c r="BK1100" s="135"/>
      <c r="BN1100" s="139"/>
      <c r="BO1100" s="136"/>
      <c r="BQ1100" s="153"/>
      <c r="BR1100" s="136"/>
      <c r="BS1100" s="149"/>
      <c r="BT1100" s="136"/>
      <c r="BW1100" s="135"/>
    </row>
    <row r="1101" spans="63:75" x14ac:dyDescent="0.2">
      <c r="BK1101" s="135"/>
      <c r="BN1101" s="139"/>
      <c r="BO1101" s="136"/>
      <c r="BQ1101" s="153"/>
      <c r="BR1101" s="136"/>
      <c r="BS1101" s="149"/>
      <c r="BT1101" s="136"/>
      <c r="BW1101" s="135"/>
    </row>
    <row r="1102" spans="63:75" x14ac:dyDescent="0.2">
      <c r="BK1102" s="135"/>
      <c r="BN1102" s="139"/>
      <c r="BO1102" s="136"/>
      <c r="BQ1102" s="153"/>
      <c r="BR1102" s="136"/>
      <c r="BS1102" s="149"/>
      <c r="BT1102" s="136"/>
      <c r="BW1102" s="135"/>
    </row>
    <row r="1103" spans="63:75" x14ac:dyDescent="0.2">
      <c r="BK1103" s="135"/>
      <c r="BN1103" s="139"/>
      <c r="BO1103" s="136"/>
      <c r="BQ1103" s="153"/>
      <c r="BR1103" s="136"/>
      <c r="BS1103" s="149"/>
      <c r="BT1103" s="136"/>
      <c r="BW1103" s="135"/>
    </row>
    <row r="1104" spans="63:75" x14ac:dyDescent="0.2">
      <c r="BK1104" s="135"/>
      <c r="BN1104" s="139"/>
      <c r="BO1104" s="136"/>
      <c r="BQ1104" s="153"/>
      <c r="BR1104" s="136"/>
      <c r="BS1104" s="149"/>
      <c r="BT1104" s="136"/>
      <c r="BW1104" s="135"/>
    </row>
    <row r="1105" spans="63:75" x14ac:dyDescent="0.2">
      <c r="BK1105" s="135"/>
      <c r="BN1105" s="139"/>
      <c r="BO1105" s="136"/>
      <c r="BQ1105" s="153"/>
      <c r="BR1105" s="136"/>
      <c r="BS1105" s="149"/>
      <c r="BT1105" s="136"/>
      <c r="BW1105" s="135"/>
    </row>
    <row r="1106" spans="63:75" x14ac:dyDescent="0.2">
      <c r="BK1106" s="135"/>
      <c r="BL1106" s="176"/>
      <c r="BN1106" s="139"/>
      <c r="BO1106" s="136"/>
      <c r="BQ1106" s="153"/>
      <c r="BR1106" s="136"/>
      <c r="BS1106" s="149"/>
      <c r="BT1106" s="136"/>
      <c r="BW1106" s="135"/>
    </row>
    <row r="1107" spans="63:75" x14ac:dyDescent="0.2">
      <c r="BK1107" s="135"/>
      <c r="BL1107" s="176"/>
      <c r="BN1107" s="139"/>
      <c r="BO1107" s="136"/>
      <c r="BQ1107" s="153"/>
      <c r="BR1107" s="136"/>
      <c r="BS1107" s="149"/>
      <c r="BT1107" s="136"/>
      <c r="BW1107" s="135"/>
    </row>
    <row r="1108" spans="63:75" x14ac:dyDescent="0.2">
      <c r="BK1108" s="135"/>
      <c r="BL1108" s="176"/>
      <c r="BN1108" s="139"/>
      <c r="BO1108" s="136"/>
      <c r="BQ1108" s="153"/>
      <c r="BR1108" s="136"/>
      <c r="BS1108" s="149"/>
      <c r="BT1108" s="136"/>
      <c r="BW1108" s="135"/>
    </row>
    <row r="1109" spans="63:75" x14ac:dyDescent="0.2">
      <c r="BK1109" s="135"/>
      <c r="BL1109" s="176"/>
      <c r="BN1109" s="139"/>
      <c r="BO1109" s="136"/>
      <c r="BQ1109" s="153"/>
      <c r="BR1109" s="136"/>
      <c r="BS1109" s="149"/>
      <c r="BT1109" s="136"/>
      <c r="BW1109" s="135"/>
    </row>
    <row r="1110" spans="63:75" x14ac:dyDescent="0.2">
      <c r="BK1110" s="135"/>
      <c r="BL1110" s="176"/>
      <c r="BN1110" s="139"/>
      <c r="BO1110" s="136"/>
      <c r="BQ1110" s="153"/>
      <c r="BR1110" s="136"/>
      <c r="BS1110" s="149"/>
      <c r="BT1110" s="136"/>
      <c r="BW1110" s="135"/>
    </row>
    <row r="1111" spans="63:75" x14ac:dyDescent="0.2">
      <c r="BK1111" s="135"/>
      <c r="BL1111" s="176"/>
      <c r="BN1111" s="139"/>
      <c r="BO1111" s="136"/>
      <c r="BQ1111" s="153"/>
      <c r="BR1111" s="136"/>
      <c r="BS1111" s="149"/>
      <c r="BT1111" s="136"/>
      <c r="BW1111" s="135"/>
    </row>
    <row r="1112" spans="63:75" x14ac:dyDescent="0.2">
      <c r="BK1112" s="176"/>
      <c r="BL1112" s="176"/>
      <c r="BN1112" s="139"/>
      <c r="BO1112" s="136"/>
      <c r="BQ1112" s="153"/>
      <c r="BR1112" s="136"/>
      <c r="BS1112" s="149"/>
      <c r="BT1112" s="136"/>
      <c r="BW1112" s="135"/>
    </row>
    <row r="1113" spans="63:75" x14ac:dyDescent="0.2">
      <c r="BK1113" s="176"/>
      <c r="BL1113" s="176"/>
      <c r="BN1113" s="139"/>
      <c r="BO1113" s="136"/>
      <c r="BQ1113" s="153"/>
      <c r="BR1113" s="136"/>
      <c r="BS1113" s="149"/>
      <c r="BT1113" s="136"/>
      <c r="BW1113" s="135"/>
    </row>
    <row r="1114" spans="63:75" x14ac:dyDescent="0.2">
      <c r="BK1114" s="176"/>
      <c r="BL1114" s="176"/>
      <c r="BN1114" s="139"/>
      <c r="BO1114" s="136"/>
      <c r="BQ1114" s="153"/>
      <c r="BR1114" s="136"/>
      <c r="BS1114" s="149"/>
      <c r="BT1114" s="136"/>
      <c r="BW1114" s="135"/>
    </row>
    <row r="1115" spans="63:75" x14ac:dyDescent="0.2">
      <c r="BK1115" s="176"/>
      <c r="BL1115" s="176"/>
      <c r="BN1115" s="139"/>
      <c r="BO1115" s="136"/>
      <c r="BQ1115" s="153"/>
      <c r="BR1115" s="136"/>
      <c r="BS1115" s="149"/>
      <c r="BT1115" s="136"/>
      <c r="BW1115" s="135"/>
    </row>
    <row r="1116" spans="63:75" x14ac:dyDescent="0.2">
      <c r="BK1116" s="176"/>
      <c r="BL1116" s="176"/>
      <c r="BN1116" s="139"/>
      <c r="BO1116" s="136"/>
      <c r="BQ1116" s="153"/>
      <c r="BR1116" s="136"/>
      <c r="BS1116" s="149"/>
      <c r="BT1116" s="136"/>
      <c r="BW1116" s="135"/>
    </row>
    <row r="1117" spans="63:75" x14ac:dyDescent="0.2">
      <c r="BK1117" s="176"/>
      <c r="BL1117" s="176"/>
      <c r="BN1117" s="139"/>
      <c r="BO1117" s="136"/>
      <c r="BQ1117" s="153"/>
      <c r="BR1117" s="136"/>
      <c r="BS1117" s="149"/>
      <c r="BT1117" s="136"/>
      <c r="BW1117" s="135"/>
    </row>
    <row r="1118" spans="63:75" x14ac:dyDescent="0.2">
      <c r="BK1118" s="176"/>
      <c r="BL1118" s="176"/>
      <c r="BN1118" s="139"/>
      <c r="BO1118" s="136"/>
      <c r="BQ1118" s="153"/>
      <c r="BR1118" s="136"/>
      <c r="BS1118" s="149"/>
      <c r="BT1118" s="136"/>
      <c r="BW1118" s="135"/>
    </row>
    <row r="1119" spans="63:75" x14ac:dyDescent="0.2">
      <c r="BK1119" s="176"/>
      <c r="BL1119" s="176"/>
      <c r="BN1119" s="139"/>
      <c r="BO1119" s="136"/>
      <c r="BQ1119" s="153"/>
      <c r="BR1119" s="136"/>
      <c r="BS1119" s="149"/>
      <c r="BT1119" s="136"/>
      <c r="BW1119" s="135"/>
    </row>
    <row r="1120" spans="63:75" x14ac:dyDescent="0.2">
      <c r="BK1120" s="176"/>
      <c r="BL1120" s="176"/>
      <c r="BN1120" s="139"/>
      <c r="BO1120" s="136"/>
      <c r="BQ1120" s="153"/>
      <c r="BR1120" s="136"/>
      <c r="BS1120" s="149"/>
      <c r="BT1120" s="136"/>
      <c r="BW1120" s="135"/>
    </row>
    <row r="1121" spans="63:76" x14ac:dyDescent="0.2">
      <c r="BK1121" s="176"/>
      <c r="BL1121" s="176"/>
      <c r="BN1121" s="139"/>
      <c r="BO1121" s="136"/>
      <c r="BQ1121" s="153"/>
      <c r="BR1121" s="136"/>
      <c r="BS1121" s="149"/>
      <c r="BT1121" s="136"/>
      <c r="BW1121" s="135"/>
    </row>
    <row r="1122" spans="63:76" x14ac:dyDescent="0.2">
      <c r="BK1122" s="176"/>
      <c r="BL1122" s="176"/>
      <c r="BN1122" s="139"/>
      <c r="BO1122" s="136"/>
      <c r="BQ1122" s="153"/>
      <c r="BR1122" s="136"/>
      <c r="BS1122" s="149"/>
      <c r="BT1122" s="136"/>
      <c r="BW1122" s="135"/>
    </row>
    <row r="1123" spans="63:76" x14ac:dyDescent="0.2">
      <c r="BK1123" s="176"/>
      <c r="BL1123" s="176"/>
      <c r="BN1123" s="139"/>
      <c r="BO1123" s="136"/>
      <c r="BQ1123" s="153"/>
      <c r="BR1123" s="136"/>
      <c r="BS1123" s="149"/>
      <c r="BT1123" s="136"/>
      <c r="BW1123" s="135"/>
    </row>
    <row r="1124" spans="63:76" x14ac:dyDescent="0.2">
      <c r="BK1124" s="176"/>
      <c r="BL1124" s="176"/>
      <c r="BN1124" s="139"/>
      <c r="BO1124" s="136"/>
      <c r="BQ1124" s="153"/>
      <c r="BR1124" s="136"/>
      <c r="BS1124" s="149"/>
      <c r="BT1124" s="136"/>
      <c r="BW1124" s="135"/>
    </row>
    <row r="1125" spans="63:76" x14ac:dyDescent="0.2">
      <c r="BK1125" s="176"/>
      <c r="BL1125" s="176"/>
      <c r="BN1125" s="139"/>
      <c r="BO1125" s="136"/>
      <c r="BQ1125" s="153"/>
      <c r="BR1125" s="136"/>
      <c r="BS1125" s="149"/>
      <c r="BT1125" s="136"/>
      <c r="BW1125" s="135"/>
    </row>
    <row r="1126" spans="63:76" x14ac:dyDescent="0.2">
      <c r="BK1126" s="176"/>
      <c r="BL1126" s="176"/>
      <c r="BN1126" s="139"/>
      <c r="BO1126" s="136"/>
      <c r="BQ1126" s="153"/>
      <c r="BR1126" s="136"/>
      <c r="BS1126" s="149"/>
      <c r="BT1126" s="136"/>
      <c r="BW1126" s="135"/>
      <c r="BX1126" s="369"/>
    </row>
    <row r="1127" spans="63:76" x14ac:dyDescent="0.2">
      <c r="BK1127" s="176"/>
      <c r="BL1127" s="176"/>
      <c r="BN1127" s="139"/>
      <c r="BO1127" s="136"/>
      <c r="BQ1127" s="153"/>
      <c r="BR1127" s="136"/>
      <c r="BS1127" s="149"/>
      <c r="BT1127" s="136"/>
      <c r="BW1127" s="135"/>
      <c r="BX1127" s="369"/>
    </row>
    <row r="1128" spans="63:76" x14ac:dyDescent="0.2">
      <c r="BK1128" s="176"/>
      <c r="BL1128" s="176"/>
      <c r="BN1128" s="139"/>
      <c r="BO1128" s="136"/>
      <c r="BQ1128" s="153"/>
      <c r="BR1128" s="136"/>
      <c r="BS1128" s="149"/>
      <c r="BT1128" s="136"/>
      <c r="BW1128" s="135"/>
      <c r="BX1128" s="369"/>
    </row>
    <row r="1129" spans="63:76" x14ac:dyDescent="0.2">
      <c r="BK1129" s="176"/>
      <c r="BL1129" s="176"/>
      <c r="BN1129" s="139"/>
      <c r="BO1129" s="136"/>
      <c r="BQ1129" s="153"/>
      <c r="BR1129" s="136"/>
      <c r="BS1129" s="149"/>
      <c r="BT1129" s="136"/>
      <c r="BW1129" s="135"/>
      <c r="BX1129" s="369"/>
    </row>
    <row r="1130" spans="63:76" x14ac:dyDescent="0.2">
      <c r="BK1130" s="176"/>
      <c r="BL1130" s="176"/>
      <c r="BN1130" s="139"/>
      <c r="BO1130" s="136"/>
      <c r="BQ1130" s="153"/>
      <c r="BR1130" s="136"/>
      <c r="BS1130" s="149"/>
      <c r="BT1130" s="136"/>
      <c r="BW1130" s="135"/>
    </row>
    <row r="1131" spans="63:76" x14ac:dyDescent="0.2">
      <c r="BK1131" s="176"/>
      <c r="BL1131" s="176"/>
      <c r="BN1131" s="139"/>
      <c r="BO1131" s="136"/>
      <c r="BQ1131" s="153"/>
      <c r="BR1131" s="136"/>
      <c r="BS1131" s="149"/>
      <c r="BT1131" s="136"/>
      <c r="BW1131" s="135"/>
    </row>
    <row r="1132" spans="63:76" x14ac:dyDescent="0.2">
      <c r="BK1132" s="176"/>
      <c r="BL1132" s="176"/>
      <c r="BN1132" s="139"/>
      <c r="BO1132" s="136"/>
      <c r="BQ1132" s="153"/>
      <c r="BR1132" s="136"/>
      <c r="BS1132" s="149"/>
      <c r="BT1132" s="136"/>
      <c r="BW1132" s="135"/>
    </row>
    <row r="1133" spans="63:76" x14ac:dyDescent="0.2">
      <c r="BK1133" s="176"/>
      <c r="BL1133" s="176"/>
      <c r="BN1133" s="139"/>
      <c r="BO1133" s="136"/>
      <c r="BQ1133" s="153"/>
      <c r="BR1133" s="136"/>
      <c r="BS1133" s="149"/>
      <c r="BT1133" s="136"/>
      <c r="BW1133" s="135"/>
    </row>
    <row r="1134" spans="63:76" x14ac:dyDescent="0.2">
      <c r="BK1134" s="176"/>
      <c r="BL1134" s="176"/>
      <c r="BN1134" s="139"/>
      <c r="BO1134" s="136"/>
      <c r="BQ1134" s="153"/>
      <c r="BR1134" s="136"/>
      <c r="BS1134" s="149"/>
      <c r="BT1134" s="136"/>
      <c r="BW1134" s="135"/>
    </row>
    <row r="1135" spans="63:76" x14ac:dyDescent="0.2">
      <c r="BK1135" s="176"/>
      <c r="BL1135" s="176"/>
      <c r="BN1135" s="139"/>
      <c r="BO1135" s="136"/>
      <c r="BQ1135" s="153"/>
      <c r="BR1135" s="136"/>
      <c r="BS1135" s="149"/>
      <c r="BT1135" s="136"/>
      <c r="BW1135" s="135"/>
    </row>
    <row r="1136" spans="63:76" x14ac:dyDescent="0.2">
      <c r="BK1136" s="176"/>
      <c r="BL1136" s="176"/>
      <c r="BN1136" s="139"/>
      <c r="BO1136" s="136"/>
      <c r="BQ1136" s="153"/>
      <c r="BR1136" s="136"/>
      <c r="BS1136" s="149"/>
      <c r="BT1136" s="136"/>
      <c r="BW1136" s="135"/>
    </row>
    <row r="1137" spans="63:75" x14ac:dyDescent="0.2">
      <c r="BK1137" s="176"/>
      <c r="BL1137" s="176"/>
      <c r="BN1137" s="139"/>
      <c r="BO1137" s="136"/>
      <c r="BQ1137" s="153"/>
      <c r="BR1137" s="136"/>
      <c r="BS1137" s="149"/>
      <c r="BT1137" s="136"/>
      <c r="BW1137" s="135"/>
    </row>
    <row r="1138" spans="63:75" x14ac:dyDescent="0.2">
      <c r="BK1138" s="176"/>
      <c r="BL1138" s="176"/>
      <c r="BN1138" s="139"/>
      <c r="BO1138" s="136"/>
      <c r="BQ1138" s="153"/>
      <c r="BR1138" s="136"/>
      <c r="BS1138" s="149"/>
      <c r="BT1138" s="136"/>
      <c r="BW1138" s="135"/>
    </row>
    <row r="1139" spans="63:75" x14ac:dyDescent="0.2">
      <c r="BK1139" s="176"/>
      <c r="BL1139" s="176"/>
      <c r="BN1139" s="139"/>
      <c r="BO1139" s="136"/>
      <c r="BQ1139" s="153"/>
      <c r="BR1139" s="136"/>
      <c r="BS1139" s="149"/>
      <c r="BT1139" s="136"/>
      <c r="BW1139" s="135"/>
    </row>
    <row r="1140" spans="63:75" x14ac:dyDescent="0.2">
      <c r="BK1140" s="176"/>
      <c r="BL1140" s="176"/>
      <c r="BN1140" s="139"/>
      <c r="BO1140" s="136"/>
      <c r="BQ1140" s="153"/>
      <c r="BR1140" s="136"/>
      <c r="BS1140" s="149"/>
      <c r="BT1140" s="136"/>
      <c r="BW1140" s="135"/>
    </row>
    <row r="1141" spans="63:75" x14ac:dyDescent="0.2">
      <c r="BK1141" s="176"/>
      <c r="BL1141" s="176"/>
      <c r="BN1141" s="139"/>
      <c r="BO1141" s="136"/>
      <c r="BQ1141" s="153"/>
      <c r="BR1141" s="136"/>
      <c r="BS1141" s="149"/>
      <c r="BT1141" s="136"/>
      <c r="BW1141" s="135"/>
    </row>
    <row r="1142" spans="63:75" x14ac:dyDescent="0.2">
      <c r="BK1142" s="176"/>
      <c r="BL1142" s="176"/>
      <c r="BN1142" s="139"/>
      <c r="BO1142" s="136"/>
      <c r="BQ1142" s="153"/>
      <c r="BR1142" s="136"/>
      <c r="BS1142" s="149"/>
      <c r="BT1142" s="136"/>
      <c r="BW1142" s="135"/>
    </row>
    <row r="1143" spans="63:75" x14ac:dyDescent="0.2">
      <c r="BK1143" s="176"/>
      <c r="BL1143" s="176"/>
      <c r="BN1143" s="139"/>
      <c r="BO1143" s="136"/>
      <c r="BQ1143" s="153"/>
      <c r="BR1143" s="136"/>
      <c r="BS1143" s="149"/>
      <c r="BT1143" s="136"/>
      <c r="BW1143" s="135"/>
    </row>
    <row r="1144" spans="63:75" x14ac:dyDescent="0.2">
      <c r="BK1144" s="176"/>
      <c r="BL1144" s="176"/>
      <c r="BN1144" s="139"/>
      <c r="BO1144" s="136"/>
      <c r="BQ1144" s="153"/>
      <c r="BR1144" s="136"/>
      <c r="BS1144" s="149"/>
      <c r="BT1144" s="136"/>
      <c r="BW1144" s="135"/>
    </row>
    <row r="1145" spans="63:75" x14ac:dyDescent="0.2">
      <c r="BK1145" s="176"/>
      <c r="BL1145" s="176"/>
      <c r="BN1145" s="139"/>
      <c r="BO1145" s="136"/>
      <c r="BQ1145" s="153"/>
      <c r="BR1145" s="136"/>
      <c r="BS1145" s="149"/>
      <c r="BT1145" s="136"/>
      <c r="BW1145" s="135"/>
    </row>
    <row r="1146" spans="63:75" x14ac:dyDescent="0.2">
      <c r="BK1146" s="176"/>
      <c r="BL1146" s="176"/>
      <c r="BN1146" s="139"/>
      <c r="BO1146" s="136"/>
      <c r="BQ1146" s="153"/>
      <c r="BR1146" s="136"/>
      <c r="BS1146" s="149"/>
      <c r="BT1146" s="136"/>
      <c r="BW1146" s="135"/>
    </row>
    <row r="1147" spans="63:75" x14ac:dyDescent="0.2">
      <c r="BK1147" s="176"/>
      <c r="BL1147" s="176"/>
      <c r="BN1147" s="139"/>
      <c r="BO1147" s="136"/>
      <c r="BQ1147" s="153"/>
      <c r="BR1147" s="136"/>
      <c r="BS1147" s="149"/>
      <c r="BT1147" s="136"/>
      <c r="BW1147" s="135"/>
    </row>
    <row r="1148" spans="63:75" x14ac:dyDescent="0.2">
      <c r="BK1148" s="176"/>
      <c r="BL1148" s="176"/>
      <c r="BN1148" s="139"/>
      <c r="BO1148" s="136"/>
      <c r="BQ1148" s="153"/>
      <c r="BR1148" s="136"/>
      <c r="BS1148" s="149"/>
      <c r="BT1148" s="136"/>
      <c r="BW1148" s="135"/>
    </row>
    <row r="1149" spans="63:75" x14ac:dyDescent="0.2">
      <c r="BK1149" s="176"/>
      <c r="BL1149" s="176"/>
      <c r="BN1149" s="139"/>
      <c r="BO1149" s="136"/>
      <c r="BQ1149" s="153"/>
      <c r="BR1149" s="136"/>
      <c r="BS1149" s="149"/>
      <c r="BT1149" s="136"/>
      <c r="BW1149" s="135"/>
    </row>
    <row r="1150" spans="63:75" x14ac:dyDescent="0.2">
      <c r="BK1150" s="176"/>
      <c r="BL1150" s="176"/>
      <c r="BN1150" s="139"/>
      <c r="BO1150" s="136"/>
      <c r="BQ1150" s="153"/>
      <c r="BR1150" s="136"/>
      <c r="BS1150" s="149"/>
      <c r="BT1150" s="136"/>
      <c r="BW1150" s="135"/>
    </row>
    <row r="1151" spans="63:75" x14ac:dyDescent="0.2">
      <c r="BK1151" s="176"/>
      <c r="BL1151" s="176"/>
      <c r="BN1151" s="139"/>
      <c r="BO1151" s="136"/>
      <c r="BQ1151" s="153"/>
      <c r="BR1151" s="136"/>
      <c r="BS1151" s="149"/>
      <c r="BT1151" s="136"/>
      <c r="BW1151" s="135"/>
    </row>
    <row r="1152" spans="63:75" x14ac:dyDescent="0.2">
      <c r="BK1152" s="176"/>
      <c r="BL1152" s="176"/>
      <c r="BN1152" s="139"/>
      <c r="BO1152" s="136"/>
      <c r="BQ1152" s="153"/>
      <c r="BR1152" s="136"/>
      <c r="BS1152" s="149"/>
      <c r="BT1152" s="136"/>
      <c r="BW1152" s="135"/>
    </row>
    <row r="1153" spans="40:75" x14ac:dyDescent="0.2">
      <c r="BK1153" s="176"/>
      <c r="BL1153" s="176"/>
      <c r="BN1153" s="139"/>
      <c r="BO1153" s="136"/>
      <c r="BQ1153" s="153"/>
      <c r="BR1153" s="136"/>
      <c r="BS1153" s="149"/>
      <c r="BT1153" s="136"/>
      <c r="BW1153" s="135"/>
    </row>
    <row r="1154" spans="40:75" x14ac:dyDescent="0.2">
      <c r="BK1154" s="176"/>
      <c r="BL1154" s="176"/>
      <c r="BN1154" s="139"/>
      <c r="BO1154" s="136"/>
      <c r="BQ1154" s="153"/>
      <c r="BR1154" s="136"/>
      <c r="BS1154" s="149"/>
      <c r="BT1154" s="136"/>
      <c r="BW1154" s="135"/>
    </row>
    <row r="1155" spans="40:75" x14ac:dyDescent="0.2">
      <c r="BK1155" s="176"/>
      <c r="BL1155" s="176"/>
      <c r="BN1155" s="139"/>
      <c r="BO1155" s="136"/>
      <c r="BQ1155" s="153"/>
      <c r="BR1155" s="136"/>
      <c r="BS1155" s="149"/>
      <c r="BT1155" s="136"/>
      <c r="BW1155" s="135"/>
    </row>
    <row r="1156" spans="40:75" x14ac:dyDescent="0.2">
      <c r="BK1156" s="176"/>
      <c r="BL1156" s="176"/>
      <c r="BN1156" s="139"/>
      <c r="BO1156" s="136"/>
      <c r="BQ1156" s="153"/>
      <c r="BR1156" s="136"/>
      <c r="BS1156" s="149"/>
      <c r="BT1156" s="136"/>
      <c r="BW1156" s="135"/>
    </row>
    <row r="1157" spans="40:75" x14ac:dyDescent="0.2">
      <c r="BK1157" s="176"/>
      <c r="BL1157" s="176"/>
      <c r="BN1157" s="139"/>
      <c r="BO1157" s="136"/>
      <c r="BQ1157" s="153"/>
      <c r="BR1157" s="136"/>
      <c r="BS1157" s="149"/>
      <c r="BT1157" s="136"/>
      <c r="BW1157" s="135"/>
    </row>
    <row r="1158" spans="40:75" x14ac:dyDescent="0.2">
      <c r="AN1158" s="138"/>
      <c r="AO1158" s="138"/>
      <c r="AP1158" s="138"/>
      <c r="AQ1158" s="138"/>
      <c r="AR1158" s="138"/>
      <c r="AS1158" s="138"/>
      <c r="AT1158" s="138"/>
      <c r="AU1158" s="138"/>
      <c r="BK1158" s="176"/>
      <c r="BL1158" s="176"/>
      <c r="BN1158" s="139"/>
      <c r="BO1158" s="136"/>
      <c r="BQ1158" s="153"/>
      <c r="BR1158" s="136"/>
      <c r="BS1158" s="149"/>
      <c r="BT1158" s="136"/>
      <c r="BW1158" s="135"/>
    </row>
    <row r="1159" spans="40:75" x14ac:dyDescent="0.2">
      <c r="BK1159" s="176"/>
      <c r="BL1159" s="176"/>
      <c r="BN1159" s="139"/>
      <c r="BO1159" s="136"/>
      <c r="BQ1159" s="153"/>
      <c r="BR1159" s="136"/>
      <c r="BS1159" s="149"/>
      <c r="BT1159" s="136"/>
      <c r="BW1159" s="135"/>
    </row>
    <row r="1160" spans="40:75" x14ac:dyDescent="0.2">
      <c r="BK1160" s="176"/>
      <c r="BL1160" s="176"/>
      <c r="BN1160" s="139"/>
      <c r="BO1160" s="136"/>
      <c r="BQ1160" s="153"/>
      <c r="BR1160" s="136"/>
      <c r="BS1160" s="149"/>
      <c r="BT1160" s="136"/>
      <c r="BW1160" s="135"/>
    </row>
    <row r="1161" spans="40:75" x14ac:dyDescent="0.2">
      <c r="BK1161" s="176"/>
      <c r="BL1161" s="176"/>
      <c r="BN1161" s="139"/>
      <c r="BO1161" s="136"/>
      <c r="BQ1161" s="153"/>
      <c r="BR1161" s="136"/>
      <c r="BS1161" s="149"/>
      <c r="BT1161" s="136"/>
      <c r="BW1161" s="135"/>
    </row>
    <row r="1162" spans="40:75" x14ac:dyDescent="0.2">
      <c r="BK1162" s="176"/>
      <c r="BL1162" s="176"/>
      <c r="BN1162" s="139"/>
      <c r="BO1162" s="136"/>
      <c r="BQ1162" s="153"/>
      <c r="BR1162" s="136"/>
      <c r="BS1162" s="149"/>
      <c r="BT1162" s="136"/>
      <c r="BW1162" s="135"/>
    </row>
    <row r="1163" spans="40:75" x14ac:dyDescent="0.2">
      <c r="BK1163" s="176"/>
      <c r="BL1163" s="176"/>
      <c r="BN1163" s="139"/>
      <c r="BO1163" s="136"/>
      <c r="BQ1163" s="153"/>
      <c r="BR1163" s="136"/>
      <c r="BS1163" s="149"/>
      <c r="BT1163" s="136"/>
      <c r="BW1163" s="135"/>
    </row>
    <row r="1164" spans="40:75" x14ac:dyDescent="0.2">
      <c r="BK1164" s="176"/>
      <c r="BL1164" s="176"/>
      <c r="BN1164" s="139"/>
      <c r="BO1164" s="136"/>
      <c r="BQ1164" s="153"/>
      <c r="BR1164" s="136"/>
      <c r="BS1164" s="149"/>
      <c r="BT1164" s="136"/>
      <c r="BW1164" s="135"/>
    </row>
    <row r="1165" spans="40:75" x14ac:dyDescent="0.2">
      <c r="BK1165" s="176"/>
      <c r="BL1165" s="176"/>
      <c r="BN1165" s="139"/>
      <c r="BO1165" s="136"/>
      <c r="BQ1165" s="153"/>
      <c r="BR1165" s="136"/>
      <c r="BS1165" s="149"/>
      <c r="BT1165" s="136"/>
      <c r="BW1165" s="135"/>
    </row>
    <row r="1166" spans="40:75" x14ac:dyDescent="0.2">
      <c r="BK1166" s="176"/>
      <c r="BL1166" s="176"/>
      <c r="BN1166" s="139"/>
      <c r="BO1166" s="136"/>
      <c r="BQ1166" s="153"/>
      <c r="BR1166" s="136"/>
      <c r="BS1166" s="149"/>
      <c r="BT1166" s="136"/>
      <c r="BW1166" s="135"/>
    </row>
    <row r="1167" spans="40:75" x14ac:dyDescent="0.2">
      <c r="BK1167" s="176"/>
      <c r="BL1167" s="176"/>
      <c r="BN1167" s="139"/>
      <c r="BO1167" s="136"/>
      <c r="BQ1167" s="153"/>
      <c r="BR1167" s="136"/>
      <c r="BS1167" s="149"/>
      <c r="BT1167" s="136"/>
      <c r="BW1167" s="135"/>
    </row>
    <row r="1168" spans="40:75" x14ac:dyDescent="0.2">
      <c r="BK1168" s="176"/>
      <c r="BL1168" s="176"/>
      <c r="BN1168" s="139"/>
      <c r="BO1168" s="136"/>
      <c r="BQ1168" s="153"/>
      <c r="BR1168" s="136"/>
      <c r="BS1168" s="149"/>
      <c r="BT1168" s="136"/>
      <c r="BW1168" s="135"/>
    </row>
    <row r="1169" spans="63:76" x14ac:dyDescent="0.2">
      <c r="BK1169" s="176"/>
      <c r="BL1169" s="176"/>
      <c r="BN1169" s="139"/>
      <c r="BO1169" s="136"/>
      <c r="BQ1169" s="153"/>
      <c r="BR1169" s="136"/>
      <c r="BS1169" s="149"/>
      <c r="BT1169" s="136"/>
      <c r="BW1169" s="135"/>
    </row>
    <row r="1170" spans="63:76" x14ac:dyDescent="0.2">
      <c r="BK1170" s="176"/>
      <c r="BL1170" s="176"/>
      <c r="BN1170" s="139"/>
      <c r="BO1170" s="136"/>
      <c r="BQ1170" s="153"/>
      <c r="BR1170" s="136"/>
      <c r="BS1170" s="149"/>
      <c r="BT1170" s="136"/>
      <c r="BW1170" s="135"/>
    </row>
    <row r="1171" spans="63:76" x14ac:dyDescent="0.2">
      <c r="BK1171" s="176"/>
      <c r="BL1171" s="176"/>
      <c r="BN1171" s="139"/>
      <c r="BO1171" s="136"/>
      <c r="BQ1171" s="153"/>
      <c r="BR1171" s="136"/>
      <c r="BS1171" s="149"/>
      <c r="BT1171" s="136"/>
      <c r="BW1171" s="135"/>
    </row>
    <row r="1172" spans="63:76" x14ac:dyDescent="0.2">
      <c r="BK1172" s="176"/>
      <c r="BL1172" s="176"/>
      <c r="BN1172" s="139"/>
      <c r="BO1172" s="136"/>
      <c r="BQ1172" s="153"/>
      <c r="BR1172" s="136"/>
      <c r="BS1172" s="149"/>
      <c r="BT1172" s="136"/>
      <c r="BW1172" s="135"/>
    </row>
    <row r="1173" spans="63:76" x14ac:dyDescent="0.2">
      <c r="BK1173" s="176"/>
      <c r="BL1173" s="176"/>
      <c r="BN1173" s="139"/>
      <c r="BO1173" s="136"/>
      <c r="BQ1173" s="153"/>
      <c r="BR1173" s="136"/>
      <c r="BS1173" s="149"/>
      <c r="BT1173" s="136"/>
      <c r="BW1173" s="135"/>
    </row>
    <row r="1174" spans="63:76" x14ac:dyDescent="0.2">
      <c r="BK1174" s="176"/>
      <c r="BL1174" s="176"/>
      <c r="BN1174" s="139"/>
      <c r="BO1174" s="136"/>
      <c r="BQ1174" s="153"/>
      <c r="BR1174" s="136"/>
      <c r="BS1174" s="149"/>
      <c r="BT1174" s="136"/>
      <c r="BW1174" s="135"/>
    </row>
    <row r="1175" spans="63:76" x14ac:dyDescent="0.2">
      <c r="BK1175" s="176"/>
      <c r="BL1175" s="176"/>
      <c r="BN1175" s="139"/>
      <c r="BO1175" s="136"/>
      <c r="BQ1175" s="153"/>
      <c r="BR1175" s="136"/>
      <c r="BS1175" s="149"/>
      <c r="BT1175" s="136"/>
      <c r="BW1175" s="135"/>
    </row>
    <row r="1176" spans="63:76" x14ac:dyDescent="0.2">
      <c r="BK1176" s="176"/>
      <c r="BL1176" s="176"/>
      <c r="BN1176" s="139"/>
      <c r="BO1176" s="136"/>
      <c r="BQ1176" s="153"/>
      <c r="BR1176" s="136"/>
      <c r="BS1176" s="149"/>
      <c r="BT1176" s="136"/>
      <c r="BW1176" s="135"/>
      <c r="BX1176" s="369"/>
    </row>
    <row r="1177" spans="63:76" x14ac:dyDescent="0.2">
      <c r="BK1177" s="176"/>
      <c r="BL1177" s="176"/>
      <c r="BN1177" s="139"/>
      <c r="BO1177" s="136"/>
      <c r="BQ1177" s="153"/>
      <c r="BR1177" s="136"/>
      <c r="BS1177" s="149"/>
      <c r="BT1177" s="136"/>
      <c r="BW1177" s="135"/>
      <c r="BX1177" s="369"/>
    </row>
    <row r="1178" spans="63:76" x14ac:dyDescent="0.2">
      <c r="BK1178" s="176"/>
      <c r="BL1178" s="176"/>
      <c r="BN1178" s="139"/>
      <c r="BO1178" s="136"/>
      <c r="BQ1178" s="153"/>
      <c r="BR1178" s="136"/>
      <c r="BS1178" s="149"/>
      <c r="BT1178" s="136"/>
      <c r="BW1178" s="135"/>
      <c r="BX1178" s="369"/>
    </row>
    <row r="1179" spans="63:76" x14ac:dyDescent="0.2">
      <c r="BK1179" s="176"/>
      <c r="BL1179" s="176"/>
      <c r="BN1179" s="139"/>
      <c r="BO1179" s="136"/>
      <c r="BQ1179" s="153"/>
      <c r="BR1179" s="136"/>
      <c r="BS1179" s="149"/>
      <c r="BT1179" s="136"/>
      <c r="BW1179" s="135"/>
      <c r="BX1179" s="369"/>
    </row>
    <row r="1180" spans="63:76" x14ac:dyDescent="0.2">
      <c r="BK1180" s="176"/>
      <c r="BL1180" s="176"/>
      <c r="BN1180" s="139"/>
      <c r="BO1180" s="136"/>
      <c r="BQ1180" s="153"/>
      <c r="BR1180" s="136"/>
      <c r="BS1180" s="149"/>
      <c r="BT1180" s="136"/>
      <c r="BW1180" s="135"/>
    </row>
    <row r="1181" spans="63:76" x14ac:dyDescent="0.2">
      <c r="BK1181" s="176"/>
      <c r="BL1181" s="176"/>
      <c r="BN1181" s="139"/>
      <c r="BO1181" s="136"/>
      <c r="BQ1181" s="153"/>
      <c r="BR1181" s="136"/>
      <c r="BS1181" s="149"/>
      <c r="BT1181" s="136"/>
      <c r="BW1181" s="135"/>
    </row>
    <row r="1182" spans="63:76" x14ac:dyDescent="0.2">
      <c r="BK1182" s="176"/>
      <c r="BL1182" s="176"/>
      <c r="BN1182" s="139"/>
      <c r="BO1182" s="136"/>
      <c r="BQ1182" s="153"/>
      <c r="BR1182" s="136"/>
      <c r="BS1182" s="149"/>
      <c r="BT1182" s="136"/>
      <c r="BW1182" s="135"/>
    </row>
    <row r="1183" spans="63:76" x14ac:dyDescent="0.2">
      <c r="BK1183" s="176"/>
      <c r="BL1183" s="176"/>
      <c r="BN1183" s="139"/>
      <c r="BO1183" s="136"/>
      <c r="BQ1183" s="153"/>
      <c r="BR1183" s="136"/>
      <c r="BS1183" s="149"/>
      <c r="BT1183" s="136"/>
      <c r="BW1183" s="135"/>
    </row>
    <row r="1184" spans="63:76" x14ac:dyDescent="0.2">
      <c r="BK1184" s="176"/>
      <c r="BL1184" s="176"/>
      <c r="BN1184" s="139"/>
      <c r="BO1184" s="136"/>
      <c r="BQ1184" s="153"/>
      <c r="BR1184" s="136"/>
      <c r="BS1184" s="149"/>
      <c r="BT1184" s="136"/>
      <c r="BW1184" s="135"/>
    </row>
    <row r="1185" spans="63:75" x14ac:dyDescent="0.2">
      <c r="BK1185" s="176"/>
      <c r="BL1185" s="176"/>
      <c r="BN1185" s="139"/>
      <c r="BO1185" s="136"/>
      <c r="BQ1185" s="153"/>
      <c r="BR1185" s="136"/>
      <c r="BS1185" s="149"/>
      <c r="BT1185" s="136"/>
      <c r="BW1185" s="135"/>
    </row>
    <row r="1186" spans="63:75" x14ac:dyDescent="0.2">
      <c r="BK1186" s="176"/>
      <c r="BL1186" s="176"/>
      <c r="BN1186" s="139"/>
      <c r="BO1186" s="136"/>
      <c r="BQ1186" s="153"/>
      <c r="BR1186" s="136"/>
      <c r="BS1186" s="149"/>
      <c r="BT1186" s="136"/>
      <c r="BW1186" s="135"/>
    </row>
    <row r="1187" spans="63:75" x14ac:dyDescent="0.2">
      <c r="BK1187" s="176"/>
      <c r="BL1187" s="176"/>
      <c r="BN1187" s="139"/>
      <c r="BO1187" s="136"/>
      <c r="BQ1187" s="153"/>
      <c r="BR1187" s="136"/>
      <c r="BS1187" s="149"/>
      <c r="BT1187" s="136"/>
      <c r="BW1187" s="135"/>
    </row>
    <row r="1188" spans="63:75" x14ac:dyDescent="0.2">
      <c r="BK1188" s="176"/>
      <c r="BL1188" s="176"/>
      <c r="BN1188" s="139"/>
      <c r="BO1188" s="136"/>
      <c r="BQ1188" s="153"/>
      <c r="BR1188" s="136"/>
      <c r="BS1188" s="149"/>
      <c r="BT1188" s="136"/>
      <c r="BW1188" s="135"/>
    </row>
    <row r="1189" spans="63:75" x14ac:dyDescent="0.2">
      <c r="BK1189" s="176"/>
      <c r="BL1189" s="176"/>
      <c r="BN1189" s="139"/>
      <c r="BO1189" s="136"/>
      <c r="BQ1189" s="153"/>
      <c r="BR1189" s="136"/>
      <c r="BS1189" s="149"/>
      <c r="BT1189" s="136"/>
      <c r="BW1189" s="135"/>
    </row>
    <row r="1190" spans="63:75" x14ac:dyDescent="0.2">
      <c r="BK1190" s="176"/>
      <c r="BL1190" s="176"/>
      <c r="BN1190" s="139"/>
      <c r="BO1190" s="136"/>
      <c r="BQ1190" s="153"/>
      <c r="BR1190" s="136"/>
      <c r="BS1190" s="149"/>
      <c r="BT1190" s="136"/>
      <c r="BW1190" s="135"/>
    </row>
    <row r="1191" spans="63:75" x14ac:dyDescent="0.2">
      <c r="BK1191" s="176"/>
      <c r="BL1191" s="176"/>
      <c r="BN1191" s="139"/>
      <c r="BO1191" s="136"/>
      <c r="BQ1191" s="153"/>
      <c r="BR1191" s="136"/>
      <c r="BS1191" s="149"/>
      <c r="BT1191" s="136"/>
      <c r="BW1191" s="135"/>
    </row>
    <row r="1192" spans="63:75" x14ac:dyDescent="0.2">
      <c r="BK1192" s="176"/>
      <c r="BL1192" s="176"/>
      <c r="BN1192" s="139"/>
      <c r="BO1192" s="136"/>
      <c r="BQ1192" s="153"/>
      <c r="BR1192" s="136"/>
      <c r="BS1192" s="149"/>
      <c r="BT1192" s="136"/>
      <c r="BW1192" s="135"/>
    </row>
    <row r="1193" spans="63:75" x14ac:dyDescent="0.2">
      <c r="BK1193" s="176"/>
      <c r="BL1193" s="176"/>
      <c r="BN1193" s="139"/>
      <c r="BO1193" s="136"/>
      <c r="BQ1193" s="153"/>
      <c r="BR1193" s="136"/>
      <c r="BS1193" s="149"/>
      <c r="BT1193" s="136"/>
      <c r="BW1193" s="135"/>
    </row>
    <row r="1194" spans="63:75" x14ac:dyDescent="0.2">
      <c r="BK1194" s="176"/>
      <c r="BL1194" s="176"/>
      <c r="BN1194" s="139"/>
      <c r="BO1194" s="136"/>
      <c r="BQ1194" s="153"/>
      <c r="BR1194" s="136"/>
      <c r="BS1194" s="149"/>
      <c r="BT1194" s="136"/>
      <c r="BW1194" s="135"/>
    </row>
    <row r="1195" spans="63:75" x14ac:dyDescent="0.2">
      <c r="BK1195" s="176"/>
      <c r="BL1195" s="176"/>
      <c r="BN1195" s="139"/>
      <c r="BO1195" s="136"/>
      <c r="BQ1195" s="153"/>
      <c r="BR1195" s="136"/>
      <c r="BS1195" s="149"/>
      <c r="BT1195" s="136"/>
      <c r="BW1195" s="135"/>
    </row>
    <row r="1196" spans="63:75" x14ac:dyDescent="0.2">
      <c r="BK1196" s="176"/>
      <c r="BL1196" s="176"/>
      <c r="BN1196" s="139"/>
      <c r="BO1196" s="136"/>
      <c r="BQ1196" s="153"/>
      <c r="BR1196" s="136"/>
      <c r="BS1196" s="149"/>
      <c r="BT1196" s="136"/>
      <c r="BW1196" s="135"/>
    </row>
    <row r="1197" spans="63:75" x14ac:dyDescent="0.2">
      <c r="BK1197" s="176"/>
      <c r="BL1197" s="176"/>
      <c r="BN1197" s="139"/>
      <c r="BO1197" s="136"/>
      <c r="BQ1197" s="153"/>
      <c r="BR1197" s="136"/>
      <c r="BS1197" s="149"/>
      <c r="BT1197" s="136"/>
      <c r="BW1197" s="135"/>
    </row>
    <row r="1198" spans="63:75" x14ac:dyDescent="0.2">
      <c r="BK1198" s="176"/>
      <c r="BL1198" s="176"/>
      <c r="BN1198" s="139"/>
      <c r="BO1198" s="136"/>
      <c r="BQ1198" s="267"/>
      <c r="BR1198" s="136"/>
      <c r="BS1198" s="149"/>
      <c r="BT1198" s="136"/>
      <c r="BW1198" s="135"/>
    </row>
    <row r="1199" spans="63:75" x14ac:dyDescent="0.2">
      <c r="BK1199" s="176"/>
      <c r="BL1199" s="176"/>
      <c r="BN1199" s="139"/>
      <c r="BO1199" s="136"/>
      <c r="BQ1199" s="267"/>
      <c r="BR1199" s="136"/>
      <c r="BS1199" s="149"/>
      <c r="BT1199" s="136"/>
      <c r="BW1199" s="135"/>
    </row>
    <row r="1200" spans="63:75" x14ac:dyDescent="0.2">
      <c r="BK1200" s="176"/>
      <c r="BL1200" s="176"/>
      <c r="BN1200" s="139"/>
      <c r="BO1200" s="136"/>
      <c r="BQ1200" s="267"/>
      <c r="BR1200" s="136"/>
      <c r="BS1200" s="149"/>
      <c r="BT1200" s="136"/>
      <c r="BW1200" s="135"/>
    </row>
    <row r="1201" spans="63:75" x14ac:dyDescent="0.2">
      <c r="BK1201" s="176"/>
      <c r="BL1201" s="176"/>
      <c r="BN1201" s="139"/>
      <c r="BO1201" s="136"/>
      <c r="BQ1201" s="267"/>
      <c r="BR1201" s="136"/>
      <c r="BS1201" s="149"/>
      <c r="BT1201" s="136"/>
      <c r="BW1201" s="135"/>
    </row>
    <row r="1202" spans="63:75" x14ac:dyDescent="0.2">
      <c r="BK1202" s="176"/>
      <c r="BL1202" s="176"/>
      <c r="BN1202" s="139"/>
      <c r="BO1202" s="136"/>
      <c r="BQ1202" s="267"/>
      <c r="BR1202" s="136"/>
      <c r="BS1202" s="149"/>
      <c r="BT1202" s="136"/>
      <c r="BW1202" s="135"/>
    </row>
    <row r="1203" spans="63:75" x14ac:dyDescent="0.2">
      <c r="BK1203" s="176"/>
      <c r="BL1203" s="176"/>
      <c r="BN1203" s="139"/>
      <c r="BO1203" s="136"/>
      <c r="BQ1203" s="267"/>
      <c r="BR1203" s="136"/>
      <c r="BS1203" s="149"/>
      <c r="BT1203" s="136"/>
      <c r="BW1203" s="135"/>
    </row>
    <row r="1204" spans="63:75" x14ac:dyDescent="0.2">
      <c r="BK1204" s="176"/>
      <c r="BL1204" s="176"/>
      <c r="BN1204" s="139"/>
      <c r="BO1204" s="136"/>
      <c r="BQ1204" s="267"/>
      <c r="BR1204" s="136"/>
      <c r="BS1204" s="149"/>
      <c r="BT1204" s="136"/>
      <c r="BW1204" s="135"/>
    </row>
    <row r="1205" spans="63:75" x14ac:dyDescent="0.2">
      <c r="BK1205" s="176"/>
      <c r="BL1205" s="176"/>
      <c r="BN1205" s="139"/>
      <c r="BO1205" s="136"/>
      <c r="BQ1205" s="267"/>
      <c r="BR1205" s="136"/>
      <c r="BS1205" s="149"/>
      <c r="BT1205" s="136"/>
      <c r="BW1205" s="135"/>
    </row>
    <row r="1206" spans="63:75" x14ac:dyDescent="0.2">
      <c r="BK1206" s="176"/>
      <c r="BL1206" s="176"/>
      <c r="BN1206" s="139"/>
      <c r="BO1206" s="136"/>
      <c r="BQ1206" s="267"/>
      <c r="BR1206" s="136"/>
      <c r="BS1206" s="149"/>
      <c r="BT1206" s="136"/>
      <c r="BW1206" s="135"/>
    </row>
    <row r="1207" spans="63:75" x14ac:dyDescent="0.2">
      <c r="BK1207" s="176"/>
      <c r="BL1207" s="176"/>
      <c r="BN1207" s="139"/>
      <c r="BO1207" s="136"/>
      <c r="BQ1207" s="267"/>
      <c r="BR1207" s="136"/>
      <c r="BS1207" s="149"/>
      <c r="BT1207" s="136"/>
      <c r="BW1207" s="135"/>
    </row>
    <row r="1208" spans="63:75" x14ac:dyDescent="0.2">
      <c r="BK1208" s="176"/>
      <c r="BL1208" s="176"/>
      <c r="BN1208" s="139"/>
      <c r="BO1208" s="136"/>
      <c r="BQ1208" s="267"/>
      <c r="BR1208" s="136"/>
      <c r="BS1208" s="149"/>
      <c r="BT1208" s="136"/>
      <c r="BW1208" s="135"/>
    </row>
    <row r="1209" spans="63:75" x14ac:dyDescent="0.2">
      <c r="BK1209" s="176"/>
      <c r="BL1209" s="176"/>
      <c r="BN1209" s="139"/>
      <c r="BO1209" s="136"/>
      <c r="BQ1209" s="267"/>
      <c r="BR1209" s="136"/>
      <c r="BS1209" s="149"/>
      <c r="BT1209" s="136"/>
      <c r="BW1209" s="135"/>
    </row>
    <row r="1210" spans="63:75" x14ac:dyDescent="0.2">
      <c r="BK1210" s="176"/>
      <c r="BL1210" s="176"/>
      <c r="BN1210" s="139"/>
      <c r="BO1210" s="136"/>
      <c r="BQ1210" s="267"/>
      <c r="BR1210" s="136"/>
      <c r="BS1210" s="149"/>
      <c r="BT1210" s="136"/>
      <c r="BW1210" s="135"/>
    </row>
    <row r="1211" spans="63:75" x14ac:dyDescent="0.2">
      <c r="BK1211" s="176"/>
      <c r="BL1211" s="176"/>
      <c r="BN1211" s="139"/>
      <c r="BO1211" s="136"/>
      <c r="BQ1211" s="267"/>
      <c r="BR1211" s="136"/>
      <c r="BS1211" s="149"/>
      <c r="BT1211" s="136"/>
      <c r="BW1211" s="135"/>
    </row>
    <row r="1212" spans="63:75" x14ac:dyDescent="0.2">
      <c r="BK1212" s="176"/>
      <c r="BL1212" s="176"/>
      <c r="BN1212" s="139"/>
      <c r="BO1212" s="136"/>
      <c r="BQ1212" s="267"/>
      <c r="BR1212" s="136"/>
      <c r="BS1212" s="149"/>
      <c r="BT1212" s="136"/>
      <c r="BW1212" s="135"/>
    </row>
    <row r="1213" spans="63:75" x14ac:dyDescent="0.2">
      <c r="BK1213" s="176"/>
      <c r="BL1213" s="176"/>
      <c r="BN1213" s="139"/>
      <c r="BO1213" s="136"/>
      <c r="BQ1213" s="267"/>
      <c r="BR1213" s="136"/>
      <c r="BS1213" s="149"/>
      <c r="BT1213" s="136"/>
      <c r="BW1213" s="135"/>
    </row>
    <row r="1214" spans="63:75" x14ac:dyDescent="0.2">
      <c r="BK1214" s="176"/>
      <c r="BL1214" s="176"/>
      <c r="BN1214" s="139"/>
      <c r="BO1214" s="136"/>
      <c r="BQ1214" s="267"/>
      <c r="BR1214" s="136"/>
      <c r="BS1214" s="149"/>
      <c r="BT1214" s="136"/>
      <c r="BW1214" s="135"/>
    </row>
    <row r="1215" spans="63:75" x14ac:dyDescent="0.2">
      <c r="BK1215" s="176"/>
      <c r="BL1215" s="176"/>
      <c r="BN1215" s="139"/>
      <c r="BO1215" s="136"/>
      <c r="BQ1215" s="267"/>
      <c r="BR1215" s="136"/>
      <c r="BS1215" s="149"/>
      <c r="BT1215" s="136"/>
      <c r="BW1215" s="135"/>
    </row>
    <row r="1216" spans="63:75" x14ac:dyDescent="0.2">
      <c r="BK1216" s="176"/>
      <c r="BL1216" s="176"/>
      <c r="BN1216" s="139"/>
      <c r="BO1216" s="136"/>
      <c r="BQ1216" s="267"/>
      <c r="BR1216" s="136"/>
      <c r="BS1216" s="149"/>
      <c r="BT1216" s="136"/>
      <c r="BW1216" s="135"/>
    </row>
    <row r="1217" spans="63:75" x14ac:dyDescent="0.2">
      <c r="BK1217" s="176"/>
      <c r="BL1217" s="176"/>
      <c r="BN1217" s="139"/>
      <c r="BO1217" s="136"/>
      <c r="BQ1217" s="267"/>
      <c r="BR1217" s="136"/>
      <c r="BS1217" s="149"/>
      <c r="BT1217" s="136"/>
      <c r="BW1217" s="135"/>
    </row>
    <row r="1218" spans="63:75" x14ac:dyDescent="0.2">
      <c r="BK1218" s="176"/>
      <c r="BL1218" s="176"/>
      <c r="BN1218" s="139"/>
      <c r="BO1218" s="136"/>
      <c r="BQ1218" s="267"/>
      <c r="BR1218" s="136"/>
      <c r="BS1218" s="149"/>
      <c r="BT1218" s="136"/>
      <c r="BW1218" s="135"/>
    </row>
    <row r="1219" spans="63:75" x14ac:dyDescent="0.2">
      <c r="BK1219" s="176"/>
      <c r="BL1219" s="176"/>
      <c r="BN1219" s="139"/>
      <c r="BO1219" s="136"/>
      <c r="BQ1219" s="267"/>
      <c r="BR1219" s="136"/>
      <c r="BS1219" s="149"/>
      <c r="BT1219" s="136"/>
      <c r="BW1219" s="135"/>
    </row>
    <row r="1220" spans="63:75" x14ac:dyDescent="0.2">
      <c r="BK1220" s="176"/>
      <c r="BL1220" s="176"/>
      <c r="BN1220" s="139"/>
      <c r="BO1220" s="136"/>
      <c r="BQ1220" s="267"/>
      <c r="BR1220" s="136"/>
      <c r="BS1220" s="149"/>
      <c r="BT1220" s="136"/>
      <c r="BW1220" s="135"/>
    </row>
    <row r="1221" spans="63:75" x14ac:dyDescent="0.2">
      <c r="BK1221" s="176"/>
      <c r="BL1221" s="176"/>
      <c r="BN1221" s="139"/>
      <c r="BO1221" s="136"/>
      <c r="BQ1221" s="267"/>
      <c r="BR1221" s="136"/>
      <c r="BS1221" s="149"/>
      <c r="BT1221" s="136"/>
      <c r="BW1221" s="135"/>
    </row>
    <row r="1222" spans="63:75" x14ac:dyDescent="0.2">
      <c r="BK1222" s="176"/>
      <c r="BL1222" s="176"/>
      <c r="BN1222" s="139"/>
      <c r="BO1222" s="136"/>
      <c r="BQ1222" s="267"/>
      <c r="BR1222" s="136"/>
      <c r="BS1222" s="149"/>
      <c r="BT1222" s="136"/>
      <c r="BW1222" s="135"/>
    </row>
    <row r="1223" spans="63:75" x14ac:dyDescent="0.2">
      <c r="BK1223" s="176"/>
      <c r="BL1223" s="176"/>
      <c r="BN1223" s="139"/>
      <c r="BO1223" s="136"/>
      <c r="BQ1223" s="267"/>
      <c r="BR1223" s="136"/>
      <c r="BS1223" s="149"/>
      <c r="BT1223" s="136"/>
      <c r="BW1223" s="135"/>
    </row>
    <row r="1224" spans="63:75" x14ac:dyDescent="0.2">
      <c r="BK1224" s="176"/>
      <c r="BL1224" s="176"/>
      <c r="BN1224" s="139"/>
      <c r="BO1224" s="136"/>
      <c r="BQ1224" s="267"/>
      <c r="BR1224" s="136"/>
      <c r="BS1224" s="149"/>
      <c r="BT1224" s="136"/>
      <c r="BW1224" s="135"/>
    </row>
    <row r="1225" spans="63:75" x14ac:dyDescent="0.2">
      <c r="BK1225" s="176"/>
      <c r="BL1225" s="176"/>
      <c r="BN1225" s="139"/>
      <c r="BO1225" s="136"/>
      <c r="BQ1225" s="267"/>
      <c r="BR1225" s="136"/>
      <c r="BS1225" s="149"/>
      <c r="BT1225" s="136"/>
      <c r="BW1225" s="135"/>
    </row>
    <row r="1226" spans="63:75" x14ac:dyDescent="0.2">
      <c r="BK1226" s="176"/>
      <c r="BL1226" s="176"/>
      <c r="BN1226" s="139"/>
      <c r="BO1226" s="136"/>
      <c r="BQ1226" s="267"/>
      <c r="BR1226" s="136"/>
      <c r="BS1226" s="149"/>
      <c r="BT1226" s="136"/>
      <c r="BW1226" s="135"/>
    </row>
    <row r="1227" spans="63:75" x14ac:dyDescent="0.2">
      <c r="BK1227" s="176"/>
      <c r="BL1227" s="176"/>
      <c r="BN1227" s="139"/>
      <c r="BO1227" s="136"/>
      <c r="BQ1227" s="267"/>
      <c r="BR1227" s="136"/>
      <c r="BS1227" s="149"/>
      <c r="BT1227" s="136"/>
      <c r="BW1227" s="135"/>
    </row>
    <row r="1228" spans="63:75" x14ac:dyDescent="0.2">
      <c r="BK1228" s="176"/>
      <c r="BL1228" s="176"/>
      <c r="BN1228" s="139"/>
      <c r="BO1228" s="136"/>
      <c r="BQ1228" s="267"/>
      <c r="BR1228" s="136"/>
      <c r="BS1228" s="149"/>
      <c r="BT1228" s="136"/>
      <c r="BW1228" s="135"/>
    </row>
    <row r="1229" spans="63:75" x14ac:dyDescent="0.2">
      <c r="BK1229" s="176"/>
      <c r="BL1229" s="176"/>
      <c r="BN1229" s="139"/>
      <c r="BO1229" s="136"/>
      <c r="BQ1229" s="267"/>
      <c r="BR1229" s="136"/>
      <c r="BS1229" s="149"/>
      <c r="BT1229" s="136"/>
      <c r="BW1229" s="135"/>
    </row>
    <row r="1230" spans="63:75" x14ac:dyDescent="0.2">
      <c r="BK1230" s="176"/>
      <c r="BL1230" s="176"/>
      <c r="BN1230" s="139"/>
      <c r="BO1230" s="136"/>
      <c r="BQ1230" s="267"/>
      <c r="BR1230" s="136"/>
      <c r="BS1230" s="149"/>
      <c r="BT1230" s="136"/>
      <c r="BW1230" s="135"/>
    </row>
    <row r="1231" spans="63:75" x14ac:dyDescent="0.2">
      <c r="BK1231" s="176"/>
      <c r="BL1231" s="176"/>
      <c r="BN1231" s="139"/>
      <c r="BO1231" s="136"/>
      <c r="BQ1231" s="267"/>
      <c r="BR1231" s="136"/>
      <c r="BS1231" s="149"/>
      <c r="BT1231" s="136"/>
      <c r="BW1231" s="135"/>
    </row>
    <row r="1232" spans="63:75" x14ac:dyDescent="0.2">
      <c r="BK1232" s="176"/>
      <c r="BL1232" s="176"/>
      <c r="BN1232" s="139"/>
      <c r="BO1232" s="136"/>
      <c r="BQ1232" s="267"/>
      <c r="BR1232" s="136"/>
      <c r="BS1232" s="149"/>
      <c r="BT1232" s="136"/>
      <c r="BW1232" s="135"/>
    </row>
    <row r="1233" spans="63:75" x14ac:dyDescent="0.2">
      <c r="BK1233" s="176"/>
      <c r="BL1233" s="176"/>
      <c r="BN1233" s="139"/>
      <c r="BO1233" s="136"/>
      <c r="BQ1233" s="267"/>
      <c r="BR1233" s="136"/>
      <c r="BS1233" s="149"/>
      <c r="BT1233" s="136"/>
      <c r="BW1233" s="135"/>
    </row>
    <row r="1234" spans="63:75" x14ac:dyDescent="0.2">
      <c r="BK1234" s="176"/>
      <c r="BL1234" s="176"/>
      <c r="BN1234" s="139"/>
      <c r="BO1234" s="136"/>
      <c r="BQ1234" s="267"/>
      <c r="BR1234" s="136"/>
      <c r="BS1234" s="149"/>
      <c r="BT1234" s="136"/>
      <c r="BW1234" s="135"/>
    </row>
    <row r="1235" spans="63:75" x14ac:dyDescent="0.2">
      <c r="BK1235" s="176"/>
      <c r="BL1235" s="176"/>
      <c r="BN1235" s="139"/>
      <c r="BO1235" s="136"/>
      <c r="BQ1235" s="267"/>
      <c r="BR1235" s="136"/>
      <c r="BS1235" s="149"/>
      <c r="BT1235" s="136"/>
      <c r="BW1235" s="135"/>
    </row>
    <row r="1236" spans="63:75" x14ac:dyDescent="0.2">
      <c r="BK1236" s="176"/>
      <c r="BL1236" s="176"/>
      <c r="BN1236" s="139"/>
      <c r="BO1236" s="136"/>
      <c r="BQ1236" s="267"/>
      <c r="BR1236" s="136"/>
      <c r="BS1236" s="149"/>
      <c r="BT1236" s="136"/>
      <c r="BW1236" s="135"/>
    </row>
    <row r="1237" spans="63:75" x14ac:dyDescent="0.2">
      <c r="BK1237" s="176"/>
      <c r="BL1237" s="176"/>
      <c r="BN1237" s="139"/>
      <c r="BO1237" s="136"/>
      <c r="BQ1237" s="267"/>
      <c r="BR1237" s="136"/>
      <c r="BS1237" s="149"/>
      <c r="BT1237" s="136"/>
      <c r="BW1237" s="135"/>
    </row>
    <row r="1238" spans="63:75" x14ac:dyDescent="0.2">
      <c r="BK1238" s="176"/>
      <c r="BL1238" s="176"/>
      <c r="BN1238" s="139"/>
      <c r="BO1238" s="136"/>
      <c r="BQ1238" s="267"/>
      <c r="BR1238" s="136"/>
      <c r="BS1238" s="149"/>
      <c r="BT1238" s="136"/>
      <c r="BW1238" s="135"/>
    </row>
    <row r="1239" spans="63:75" x14ac:dyDescent="0.2">
      <c r="BK1239" s="176"/>
      <c r="BL1239" s="176"/>
      <c r="BN1239" s="139"/>
      <c r="BO1239" s="136"/>
      <c r="BQ1239" s="267"/>
      <c r="BR1239" s="136"/>
      <c r="BS1239" s="149"/>
      <c r="BT1239" s="136"/>
      <c r="BW1239" s="135"/>
    </row>
    <row r="1240" spans="63:75" x14ac:dyDescent="0.2">
      <c r="BK1240" s="176"/>
      <c r="BL1240" s="176"/>
      <c r="BN1240" s="139"/>
      <c r="BO1240" s="136"/>
      <c r="BQ1240" s="267"/>
      <c r="BR1240" s="136"/>
      <c r="BS1240" s="149"/>
      <c r="BT1240" s="136"/>
      <c r="BW1240" s="135"/>
    </row>
    <row r="1241" spans="63:75" x14ac:dyDescent="0.2">
      <c r="BK1241" s="176"/>
      <c r="BL1241" s="176"/>
      <c r="BN1241" s="139"/>
      <c r="BO1241" s="136"/>
      <c r="BQ1241" s="267"/>
      <c r="BR1241" s="136"/>
      <c r="BS1241" s="149"/>
      <c r="BT1241" s="136"/>
      <c r="BW1241" s="135"/>
    </row>
    <row r="1242" spans="63:75" x14ac:dyDescent="0.2">
      <c r="BK1242" s="176"/>
      <c r="BL1242" s="176"/>
      <c r="BN1242" s="139"/>
      <c r="BO1242" s="136"/>
      <c r="BQ1242" s="267"/>
      <c r="BR1242" s="136"/>
      <c r="BS1242" s="149"/>
      <c r="BT1242" s="136"/>
      <c r="BW1242" s="135"/>
    </row>
    <row r="1243" spans="63:75" x14ac:dyDescent="0.2">
      <c r="BK1243" s="176"/>
      <c r="BL1243" s="176"/>
      <c r="BN1243" s="139"/>
      <c r="BO1243" s="136"/>
      <c r="BQ1243" s="267"/>
      <c r="BR1243" s="136"/>
      <c r="BS1243" s="149"/>
      <c r="BT1243" s="136"/>
      <c r="BW1243" s="135"/>
    </row>
    <row r="1244" spans="63:75" x14ac:dyDescent="0.2">
      <c r="BK1244" s="176"/>
      <c r="BL1244" s="176"/>
      <c r="BN1244" s="139"/>
      <c r="BO1244" s="136"/>
      <c r="BQ1244" s="267"/>
      <c r="BR1244" s="136"/>
      <c r="BS1244" s="149"/>
      <c r="BT1244" s="136"/>
      <c r="BW1244" s="135"/>
    </row>
    <row r="1245" spans="63:75" x14ac:dyDescent="0.2">
      <c r="BK1245" s="176"/>
      <c r="BL1245" s="176"/>
      <c r="BN1245" s="139"/>
      <c r="BO1245" s="136"/>
      <c r="BQ1245" s="267"/>
      <c r="BR1245" s="136"/>
      <c r="BS1245" s="149"/>
      <c r="BT1245" s="136"/>
      <c r="BW1245" s="135"/>
    </row>
    <row r="1246" spans="63:75" x14ac:dyDescent="0.2">
      <c r="BK1246" s="176"/>
      <c r="BL1246" s="176"/>
      <c r="BN1246" s="139"/>
      <c r="BO1246" s="136"/>
      <c r="BQ1246" s="267"/>
      <c r="BR1246" s="136"/>
      <c r="BS1246" s="149"/>
      <c r="BT1246" s="136"/>
      <c r="BW1246" s="135"/>
    </row>
    <row r="1247" spans="63:75" x14ac:dyDescent="0.2">
      <c r="BK1247" s="176"/>
      <c r="BL1247" s="176"/>
      <c r="BN1247" s="139"/>
      <c r="BO1247" s="136"/>
      <c r="BR1247" s="136"/>
      <c r="BS1247" s="149"/>
      <c r="BT1247" s="136"/>
      <c r="BW1247" s="135"/>
    </row>
    <row r="1248" spans="63:75" x14ac:dyDescent="0.2">
      <c r="BK1248" s="176"/>
      <c r="BL1248" s="176"/>
      <c r="BN1248" s="139"/>
      <c r="BO1248" s="136"/>
      <c r="BR1248" s="136"/>
      <c r="BS1248" s="149"/>
      <c r="BT1248" s="136"/>
      <c r="BW1248" s="135"/>
    </row>
    <row r="1249" spans="63:75" x14ac:dyDescent="0.2">
      <c r="BK1249" s="176"/>
      <c r="BL1249" s="176"/>
      <c r="BN1249" s="139"/>
      <c r="BO1249" s="136"/>
      <c r="BR1249" s="136"/>
      <c r="BS1249" s="149"/>
      <c r="BT1249" s="136"/>
      <c r="BW1249" s="135"/>
    </row>
    <row r="1250" spans="63:75" x14ac:dyDescent="0.2">
      <c r="BK1250" s="176"/>
      <c r="BL1250" s="176"/>
      <c r="BN1250" s="139"/>
      <c r="BO1250" s="136"/>
      <c r="BR1250" s="136"/>
      <c r="BS1250" s="149"/>
      <c r="BT1250" s="136"/>
      <c r="BW1250" s="135"/>
    </row>
    <row r="1251" spans="63:75" x14ac:dyDescent="0.2">
      <c r="BK1251" s="176"/>
      <c r="BL1251" s="176"/>
      <c r="BN1251" s="139"/>
      <c r="BO1251" s="136"/>
      <c r="BR1251" s="136"/>
      <c r="BS1251" s="149"/>
      <c r="BT1251" s="136"/>
      <c r="BW1251" s="135"/>
    </row>
    <row r="1252" spans="63:75" x14ac:dyDescent="0.2">
      <c r="BK1252" s="176"/>
      <c r="BL1252" s="176"/>
      <c r="BN1252" s="139"/>
      <c r="BO1252" s="136"/>
      <c r="BR1252" s="136"/>
      <c r="BS1252" s="149"/>
      <c r="BT1252" s="136"/>
      <c r="BW1252" s="135"/>
    </row>
    <row r="1253" spans="63:75" x14ac:dyDescent="0.2">
      <c r="BK1253" s="176"/>
      <c r="BL1253" s="176"/>
      <c r="BN1253" s="139"/>
      <c r="BO1253" s="136"/>
      <c r="BR1253" s="136"/>
      <c r="BS1253" s="149"/>
      <c r="BT1253" s="136"/>
      <c r="BW1253" s="135"/>
    </row>
    <row r="1254" spans="63:75" x14ac:dyDescent="0.2">
      <c r="BK1254" s="176"/>
      <c r="BL1254" s="176"/>
      <c r="BN1254" s="139"/>
      <c r="BO1254" s="136"/>
      <c r="BR1254" s="136"/>
      <c r="BS1254" s="149"/>
      <c r="BT1254" s="136"/>
      <c r="BW1254" s="135"/>
    </row>
    <row r="1255" spans="63:75" x14ac:dyDescent="0.2">
      <c r="BK1255" s="176"/>
      <c r="BL1255" s="176"/>
      <c r="BN1255" s="139"/>
      <c r="BO1255" s="136"/>
      <c r="BR1255" s="136"/>
      <c r="BS1255" s="149"/>
      <c r="BT1255" s="136"/>
      <c r="BW1255" s="135"/>
    </row>
    <row r="1256" spans="63:75" x14ac:dyDescent="0.2">
      <c r="BK1256" s="176"/>
      <c r="BL1256" s="176"/>
      <c r="BN1256" s="139"/>
      <c r="BO1256" s="136"/>
      <c r="BR1256" s="136"/>
      <c r="BS1256" s="149"/>
      <c r="BT1256" s="136"/>
      <c r="BW1256" s="135"/>
    </row>
    <row r="1257" spans="63:75" x14ac:dyDescent="0.2">
      <c r="BK1257" s="176"/>
      <c r="BL1257" s="176"/>
      <c r="BN1257" s="139"/>
      <c r="BO1257" s="136"/>
      <c r="BQ1257" s="267"/>
      <c r="BR1257" s="136"/>
      <c r="BS1257" s="149"/>
      <c r="BT1257" s="136"/>
      <c r="BW1257" s="135"/>
    </row>
    <row r="1258" spans="63:75" x14ac:dyDescent="0.2">
      <c r="BK1258" s="176"/>
      <c r="BL1258" s="176"/>
      <c r="BN1258" s="139"/>
      <c r="BO1258" s="136"/>
      <c r="BR1258" s="136"/>
      <c r="BS1258" s="149"/>
      <c r="BT1258" s="136"/>
      <c r="BW1258" s="135"/>
    </row>
    <row r="1259" spans="63:75" x14ac:dyDescent="0.2">
      <c r="BK1259" s="176"/>
      <c r="BL1259" s="176"/>
      <c r="BN1259" s="139"/>
      <c r="BO1259" s="136"/>
      <c r="BR1259" s="136"/>
      <c r="BS1259" s="149"/>
      <c r="BT1259" s="136"/>
      <c r="BW1259" s="135"/>
    </row>
    <row r="1260" spans="63:75" x14ac:dyDescent="0.2">
      <c r="BK1260" s="176"/>
      <c r="BL1260" s="176"/>
      <c r="BN1260" s="139"/>
      <c r="BO1260" s="136"/>
      <c r="BR1260" s="136"/>
      <c r="BS1260" s="149"/>
      <c r="BT1260" s="136"/>
      <c r="BW1260" s="135"/>
    </row>
    <row r="1261" spans="63:75" x14ac:dyDescent="0.2">
      <c r="BK1261" s="176"/>
      <c r="BL1261" s="176"/>
      <c r="BN1261" s="139"/>
      <c r="BO1261" s="136"/>
      <c r="BR1261" s="136"/>
      <c r="BS1261" s="149"/>
      <c r="BT1261" s="136"/>
      <c r="BW1261" s="135"/>
    </row>
    <row r="1262" spans="63:75" x14ac:dyDescent="0.2">
      <c r="BK1262" s="176"/>
      <c r="BL1262" s="176"/>
      <c r="BN1262" s="139"/>
      <c r="BO1262" s="136"/>
      <c r="BR1262" s="136"/>
      <c r="BS1262" s="149"/>
      <c r="BT1262" s="136"/>
      <c r="BW1262" s="135"/>
    </row>
    <row r="1263" spans="63:75" x14ac:dyDescent="0.2">
      <c r="BK1263" s="176"/>
      <c r="BL1263" s="176"/>
      <c r="BN1263" s="139"/>
      <c r="BO1263" s="136"/>
      <c r="BR1263" s="136"/>
      <c r="BS1263" s="149"/>
      <c r="BT1263" s="136"/>
      <c r="BW1263" s="135"/>
    </row>
    <row r="1264" spans="63:75" x14ac:dyDescent="0.2">
      <c r="BK1264" s="176"/>
      <c r="BL1264" s="176"/>
      <c r="BN1264" s="139"/>
      <c r="BO1264" s="136"/>
      <c r="BR1264" s="136"/>
      <c r="BS1264" s="149"/>
      <c r="BT1264" s="136"/>
      <c r="BW1264" s="135"/>
    </row>
    <row r="1265" spans="63:75" x14ac:dyDescent="0.2">
      <c r="BK1265" s="176"/>
      <c r="BL1265" s="176"/>
      <c r="BN1265" s="139"/>
      <c r="BO1265" s="136"/>
      <c r="BR1265" s="136"/>
      <c r="BS1265" s="149"/>
      <c r="BT1265" s="136"/>
      <c r="BW1265" s="135"/>
    </row>
    <row r="1266" spans="63:75" x14ac:dyDescent="0.2">
      <c r="BK1266" s="176"/>
      <c r="BL1266" s="176"/>
      <c r="BN1266" s="139"/>
      <c r="BO1266" s="136"/>
      <c r="BR1266" s="136"/>
      <c r="BS1266" s="149"/>
      <c r="BT1266" s="136"/>
      <c r="BW1266" s="135"/>
    </row>
    <row r="1267" spans="63:75" x14ac:dyDescent="0.2">
      <c r="BK1267" s="176"/>
      <c r="BL1267" s="176"/>
      <c r="BN1267" s="139"/>
      <c r="BO1267" s="136"/>
      <c r="BR1267" s="136"/>
      <c r="BS1267" s="149"/>
      <c r="BT1267" s="136"/>
      <c r="BW1267" s="135"/>
    </row>
    <row r="1268" spans="63:75" x14ac:dyDescent="0.2">
      <c r="BK1268" s="176"/>
      <c r="BL1268" s="176"/>
      <c r="BN1268" s="139"/>
      <c r="BO1268" s="136"/>
      <c r="BR1268" s="136"/>
      <c r="BS1268" s="149"/>
      <c r="BT1268" s="136"/>
      <c r="BW1268" s="135"/>
    </row>
    <row r="1269" spans="63:75" x14ac:dyDescent="0.2">
      <c r="BK1269" s="176"/>
      <c r="BL1269" s="176"/>
      <c r="BN1269" s="139"/>
      <c r="BO1269" s="136"/>
      <c r="BR1269" s="136"/>
      <c r="BS1269" s="149"/>
      <c r="BT1269" s="136"/>
      <c r="BW1269" s="135"/>
    </row>
    <row r="1270" spans="63:75" x14ac:dyDescent="0.2">
      <c r="BK1270" s="176"/>
      <c r="BL1270" s="176"/>
      <c r="BN1270" s="139"/>
      <c r="BO1270" s="136"/>
      <c r="BR1270" s="136"/>
      <c r="BS1270" s="149"/>
      <c r="BT1270" s="136"/>
      <c r="BW1270" s="135"/>
    </row>
    <row r="1271" spans="63:75" x14ac:dyDescent="0.2">
      <c r="BK1271" s="176"/>
      <c r="BL1271" s="176"/>
      <c r="BN1271" s="139"/>
      <c r="BO1271" s="136"/>
      <c r="BR1271" s="136"/>
      <c r="BS1271" s="149"/>
      <c r="BT1271" s="136"/>
      <c r="BW1271" s="135"/>
    </row>
    <row r="1272" spans="63:75" x14ac:dyDescent="0.2">
      <c r="BK1272" s="176"/>
      <c r="BL1272" s="176"/>
      <c r="BN1272" s="139"/>
      <c r="BO1272" s="136"/>
      <c r="BR1272" s="136"/>
      <c r="BS1272" s="149"/>
      <c r="BT1272" s="136"/>
      <c r="BW1272" s="135"/>
    </row>
    <row r="1273" spans="63:75" x14ac:dyDescent="0.2">
      <c r="BK1273" s="176"/>
      <c r="BL1273" s="176"/>
      <c r="BN1273" s="139"/>
      <c r="BO1273" s="136"/>
      <c r="BR1273" s="136"/>
      <c r="BS1273" s="149"/>
      <c r="BT1273" s="136"/>
      <c r="BW1273" s="135"/>
    </row>
    <row r="1274" spans="63:75" x14ac:dyDescent="0.2">
      <c r="BK1274" s="176"/>
      <c r="BL1274" s="176"/>
      <c r="BN1274" s="139"/>
      <c r="BO1274" s="136"/>
      <c r="BR1274" s="136"/>
      <c r="BS1274" s="149"/>
      <c r="BT1274" s="136"/>
      <c r="BW1274" s="135"/>
    </row>
    <row r="1275" spans="63:75" x14ac:dyDescent="0.2">
      <c r="BK1275" s="176"/>
      <c r="BL1275" s="176"/>
      <c r="BN1275" s="139"/>
      <c r="BO1275" s="136"/>
      <c r="BR1275" s="136"/>
      <c r="BS1275" s="149"/>
      <c r="BT1275" s="136"/>
      <c r="BW1275" s="135"/>
    </row>
    <row r="1276" spans="63:75" x14ac:dyDescent="0.2">
      <c r="BK1276" s="176"/>
      <c r="BL1276" s="176"/>
      <c r="BN1276" s="139"/>
      <c r="BO1276" s="136"/>
      <c r="BR1276" s="136"/>
      <c r="BS1276" s="149"/>
      <c r="BT1276" s="136"/>
      <c r="BW1276" s="135"/>
    </row>
    <row r="1277" spans="63:75" x14ac:dyDescent="0.2">
      <c r="BK1277" s="176"/>
      <c r="BL1277" s="176"/>
      <c r="BN1277" s="139"/>
      <c r="BO1277" s="136"/>
      <c r="BR1277" s="136"/>
      <c r="BS1277" s="149"/>
      <c r="BT1277" s="136"/>
      <c r="BW1277" s="135"/>
    </row>
    <row r="1278" spans="63:75" x14ac:dyDescent="0.2">
      <c r="BK1278" s="176"/>
      <c r="BL1278" s="176"/>
      <c r="BN1278" s="139"/>
      <c r="BO1278" s="136"/>
      <c r="BR1278" s="136"/>
      <c r="BS1278" s="149"/>
      <c r="BT1278" s="136"/>
      <c r="BW1278" s="135"/>
    </row>
    <row r="1279" spans="63:75" x14ac:dyDescent="0.2">
      <c r="BK1279" s="176"/>
      <c r="BL1279" s="176"/>
      <c r="BN1279" s="139"/>
      <c r="BO1279" s="136"/>
      <c r="BR1279" s="136"/>
      <c r="BS1279" s="149"/>
      <c r="BT1279" s="136"/>
      <c r="BW1279" s="135"/>
    </row>
    <row r="1280" spans="63:75" x14ac:dyDescent="0.2">
      <c r="BK1280" s="176"/>
      <c r="BL1280" s="176"/>
      <c r="BN1280" s="139"/>
      <c r="BO1280" s="136"/>
      <c r="BR1280" s="136"/>
      <c r="BS1280" s="149"/>
      <c r="BT1280" s="136"/>
      <c r="BW1280" s="135"/>
    </row>
    <row r="1281" spans="63:75" x14ac:dyDescent="0.2">
      <c r="BK1281" s="176"/>
      <c r="BL1281" s="176"/>
      <c r="BN1281" s="139"/>
      <c r="BO1281" s="136"/>
      <c r="BR1281" s="136"/>
      <c r="BS1281" s="149"/>
      <c r="BT1281" s="136"/>
      <c r="BW1281" s="135"/>
    </row>
    <row r="1282" spans="63:75" x14ac:dyDescent="0.2">
      <c r="BK1282" s="176"/>
      <c r="BL1282" s="176"/>
      <c r="BN1282" s="139"/>
      <c r="BO1282" s="136"/>
      <c r="BR1282" s="136"/>
      <c r="BS1282" s="149"/>
      <c r="BT1282" s="136"/>
      <c r="BW1282" s="135"/>
    </row>
    <row r="1283" spans="63:75" x14ac:dyDescent="0.2">
      <c r="BK1283" s="176"/>
      <c r="BL1283" s="176"/>
      <c r="BN1283" s="139"/>
      <c r="BR1283" s="136"/>
      <c r="BS1283" s="149"/>
      <c r="BT1283" s="136"/>
      <c r="BW1283" s="135"/>
    </row>
    <row r="1284" spans="63:75" x14ac:dyDescent="0.2">
      <c r="BK1284" s="176"/>
      <c r="BL1284" s="176"/>
      <c r="BN1284" s="139"/>
      <c r="BR1284" s="136"/>
      <c r="BS1284" s="149"/>
      <c r="BT1284" s="136"/>
      <c r="BW1284" s="135"/>
    </row>
    <row r="1285" spans="63:75" x14ac:dyDescent="0.2">
      <c r="BK1285" s="176"/>
      <c r="BL1285" s="176"/>
      <c r="BN1285" s="139"/>
      <c r="BR1285" s="136"/>
      <c r="BS1285" s="149"/>
      <c r="BT1285" s="136"/>
      <c r="BW1285" s="135"/>
    </row>
    <row r="1286" spans="63:75" x14ac:dyDescent="0.2">
      <c r="BK1286" s="176"/>
      <c r="BL1286" s="176"/>
      <c r="BN1286" s="139"/>
      <c r="BR1286" s="136"/>
      <c r="BS1286" s="149"/>
      <c r="BT1286" s="136"/>
      <c r="BW1286" s="135"/>
    </row>
    <row r="1287" spans="63:75" x14ac:dyDescent="0.2">
      <c r="BK1287" s="176"/>
      <c r="BL1287" s="176"/>
      <c r="BN1287" s="139"/>
      <c r="BR1287" s="136"/>
      <c r="BS1287" s="149"/>
      <c r="BT1287" s="136"/>
      <c r="BW1287" s="135"/>
    </row>
    <row r="1288" spans="63:75" x14ac:dyDescent="0.2">
      <c r="BK1288" s="176"/>
      <c r="BL1288" s="176"/>
      <c r="BN1288" s="139"/>
      <c r="BR1288" s="136"/>
      <c r="BS1288" s="149"/>
      <c r="BT1288" s="136"/>
      <c r="BW1288" s="135"/>
    </row>
    <row r="1289" spans="63:75" x14ac:dyDescent="0.2">
      <c r="BK1289" s="176"/>
      <c r="BL1289" s="176"/>
      <c r="BN1289" s="139"/>
      <c r="BR1289" s="136"/>
      <c r="BS1289" s="149"/>
      <c r="BT1289" s="136"/>
      <c r="BW1289" s="135"/>
    </row>
    <row r="1290" spans="63:75" x14ac:dyDescent="0.2">
      <c r="BK1290" s="176"/>
      <c r="BL1290" s="176"/>
      <c r="BN1290" s="139"/>
      <c r="BR1290" s="136"/>
      <c r="BS1290" s="149"/>
      <c r="BT1290" s="136"/>
      <c r="BW1290" s="135"/>
    </row>
    <row r="1291" spans="63:75" x14ac:dyDescent="0.2">
      <c r="BK1291" s="176"/>
      <c r="BL1291" s="176"/>
      <c r="BN1291" s="139"/>
      <c r="BR1291" s="136"/>
      <c r="BS1291" s="149"/>
      <c r="BT1291" s="136"/>
      <c r="BW1291" s="135"/>
    </row>
    <row r="1292" spans="63:75" x14ac:dyDescent="0.2">
      <c r="BK1292" s="176"/>
      <c r="BL1292" s="176"/>
      <c r="BN1292" s="139"/>
      <c r="BR1292" s="136"/>
      <c r="BS1292" s="149"/>
      <c r="BT1292" s="136"/>
      <c r="BW1292" s="135"/>
    </row>
    <row r="1293" spans="63:75" x14ac:dyDescent="0.2">
      <c r="BK1293" s="176"/>
      <c r="BL1293" s="176"/>
      <c r="BN1293" s="139"/>
      <c r="BR1293" s="136"/>
      <c r="BS1293" s="149"/>
      <c r="BT1293" s="136"/>
      <c r="BW1293" s="135"/>
    </row>
    <row r="1294" spans="63:75" x14ac:dyDescent="0.2">
      <c r="BK1294" s="176"/>
      <c r="BL1294" s="176"/>
      <c r="BN1294" s="139"/>
      <c r="BR1294" s="136"/>
      <c r="BS1294" s="149"/>
      <c r="BT1294" s="136"/>
      <c r="BW1294" s="135"/>
    </row>
    <row r="1295" spans="63:75" x14ac:dyDescent="0.2">
      <c r="BK1295" s="176"/>
      <c r="BL1295" s="176"/>
      <c r="BN1295" s="139"/>
      <c r="BR1295" s="136"/>
      <c r="BS1295" s="149"/>
      <c r="BT1295" s="136"/>
      <c r="BW1295" s="135"/>
    </row>
    <row r="1296" spans="63:75" x14ac:dyDescent="0.2">
      <c r="BK1296" s="176"/>
      <c r="BL1296" s="176"/>
      <c r="BN1296" s="139"/>
      <c r="BR1296" s="136"/>
      <c r="BS1296" s="149"/>
      <c r="BT1296" s="136"/>
      <c r="BW1296" s="135"/>
    </row>
    <row r="1297" spans="63:75" x14ac:dyDescent="0.2">
      <c r="BK1297" s="176"/>
      <c r="BL1297" s="176"/>
      <c r="BN1297" s="139"/>
      <c r="BR1297" s="136"/>
      <c r="BS1297" s="149"/>
      <c r="BT1297" s="136"/>
      <c r="BW1297" s="135"/>
    </row>
    <row r="1298" spans="63:75" x14ac:dyDescent="0.2">
      <c r="BK1298" s="176"/>
      <c r="BL1298" s="176"/>
      <c r="BN1298" s="139"/>
      <c r="BR1298" s="136"/>
      <c r="BS1298" s="149"/>
      <c r="BT1298" s="136"/>
      <c r="BW1298" s="135"/>
    </row>
    <row r="1299" spans="63:75" x14ac:dyDescent="0.2">
      <c r="BK1299" s="176"/>
      <c r="BL1299" s="176"/>
      <c r="BN1299" s="139"/>
      <c r="BR1299" s="136"/>
      <c r="BS1299" s="149"/>
      <c r="BT1299" s="136"/>
      <c r="BW1299" s="135"/>
    </row>
    <row r="1300" spans="63:75" x14ac:dyDescent="0.2">
      <c r="BK1300" s="176"/>
      <c r="BL1300" s="176"/>
      <c r="BN1300" s="139"/>
      <c r="BR1300" s="136"/>
      <c r="BS1300" s="149"/>
      <c r="BT1300" s="136"/>
      <c r="BW1300" s="135"/>
    </row>
    <row r="1301" spans="63:75" x14ac:dyDescent="0.2">
      <c r="BK1301" s="176"/>
      <c r="BL1301" s="176"/>
      <c r="BN1301" s="139"/>
      <c r="BR1301" s="136"/>
      <c r="BS1301" s="149"/>
      <c r="BT1301" s="136"/>
      <c r="BW1301" s="135"/>
    </row>
    <row r="1302" spans="63:75" x14ac:dyDescent="0.2">
      <c r="BK1302" s="176"/>
      <c r="BL1302" s="176"/>
      <c r="BN1302" s="139"/>
      <c r="BR1302" s="136"/>
      <c r="BS1302" s="149"/>
      <c r="BT1302" s="136"/>
      <c r="BW1302" s="135"/>
    </row>
    <row r="1303" spans="63:75" x14ac:dyDescent="0.2">
      <c r="BK1303" s="176"/>
      <c r="BL1303" s="176"/>
      <c r="BN1303" s="139"/>
      <c r="BR1303" s="136"/>
      <c r="BS1303" s="149"/>
      <c r="BT1303" s="136"/>
      <c r="BW1303" s="135"/>
    </row>
    <row r="1304" spans="63:75" x14ac:dyDescent="0.2">
      <c r="BK1304" s="176"/>
      <c r="BL1304" s="176"/>
      <c r="BN1304" s="139"/>
      <c r="BR1304" s="136"/>
      <c r="BS1304" s="149"/>
      <c r="BT1304" s="136"/>
      <c r="BW1304" s="135"/>
    </row>
    <row r="1305" spans="63:75" x14ac:dyDescent="0.2">
      <c r="BK1305" s="176"/>
      <c r="BL1305" s="176"/>
      <c r="BN1305" s="139"/>
      <c r="BR1305" s="136"/>
      <c r="BS1305" s="149"/>
      <c r="BT1305" s="136"/>
      <c r="BW1305" s="135"/>
    </row>
    <row r="1306" spans="63:75" x14ac:dyDescent="0.2">
      <c r="BK1306" s="176"/>
      <c r="BL1306" s="176"/>
      <c r="BN1306" s="139"/>
      <c r="BR1306" s="136"/>
      <c r="BS1306" s="149"/>
      <c r="BT1306" s="136"/>
      <c r="BW1306" s="135"/>
    </row>
    <row r="1307" spans="63:75" x14ac:dyDescent="0.2">
      <c r="BK1307" s="176"/>
      <c r="BN1307" s="139"/>
      <c r="BR1307" s="136"/>
      <c r="BS1307" s="149"/>
      <c r="BT1307" s="136"/>
      <c r="BW1307" s="135"/>
    </row>
    <row r="1308" spans="63:75" x14ac:dyDescent="0.2">
      <c r="BK1308" s="176"/>
      <c r="BN1308" s="139"/>
      <c r="BR1308" s="136"/>
      <c r="BS1308" s="149"/>
      <c r="BT1308" s="136"/>
      <c r="BW1308" s="135"/>
    </row>
    <row r="1309" spans="63:75" x14ac:dyDescent="0.2">
      <c r="BK1309" s="176"/>
      <c r="BL1309" s="176"/>
      <c r="BN1309" s="139"/>
      <c r="BR1309" s="136"/>
      <c r="BS1309" s="149"/>
      <c r="BT1309" s="136"/>
      <c r="BW1309" s="135"/>
    </row>
    <row r="1310" spans="63:75" x14ac:dyDescent="0.2">
      <c r="BK1310" s="176"/>
      <c r="BL1310" s="176"/>
      <c r="BN1310" s="139"/>
      <c r="BR1310" s="136"/>
      <c r="BS1310" s="149"/>
      <c r="BT1310" s="136"/>
      <c r="BW1310" s="135"/>
    </row>
    <row r="1311" spans="63:75" x14ac:dyDescent="0.2">
      <c r="BK1311" s="176"/>
      <c r="BL1311" s="176"/>
      <c r="BN1311" s="139"/>
      <c r="BR1311" s="136"/>
      <c r="BS1311" s="149"/>
      <c r="BT1311" s="136"/>
      <c r="BW1311" s="135"/>
    </row>
    <row r="1312" spans="63:75" x14ac:dyDescent="0.2">
      <c r="BK1312" s="176"/>
      <c r="BL1312" s="176"/>
      <c r="BN1312" s="139"/>
      <c r="BR1312" s="136"/>
      <c r="BS1312" s="149"/>
      <c r="BT1312" s="136"/>
      <c r="BW1312" s="135"/>
    </row>
    <row r="1313" spans="63:75" x14ac:dyDescent="0.2">
      <c r="BK1313" s="135"/>
      <c r="BL1313" s="176"/>
      <c r="BN1313" s="139"/>
      <c r="BR1313" s="136"/>
      <c r="BS1313" s="149"/>
      <c r="BT1313" s="136"/>
      <c r="BW1313" s="135"/>
    </row>
    <row r="1314" spans="63:75" x14ac:dyDescent="0.2">
      <c r="BK1314" s="135"/>
      <c r="BL1314" s="176"/>
      <c r="BN1314" s="139"/>
      <c r="BR1314" s="136"/>
      <c r="BS1314" s="149"/>
      <c r="BT1314" s="136"/>
      <c r="BW1314" s="135"/>
    </row>
    <row r="1315" spans="63:75" x14ac:dyDescent="0.2">
      <c r="BK1315" s="176"/>
      <c r="BL1315" s="176"/>
      <c r="BN1315" s="139"/>
      <c r="BR1315" s="136"/>
      <c r="BS1315" s="149"/>
      <c r="BT1315" s="136"/>
      <c r="BW1315" s="135"/>
    </row>
    <row r="1316" spans="63:75" x14ac:dyDescent="0.2">
      <c r="BK1316" s="176"/>
      <c r="BL1316" s="176"/>
      <c r="BN1316" s="139"/>
      <c r="BR1316" s="136"/>
      <c r="BS1316" s="149"/>
      <c r="BT1316" s="136"/>
      <c r="BW1316" s="135"/>
    </row>
    <row r="1317" spans="63:75" x14ac:dyDescent="0.2">
      <c r="BK1317" s="176"/>
      <c r="BL1317" s="176"/>
      <c r="BN1317" s="139"/>
      <c r="BR1317" s="136"/>
      <c r="BS1317" s="149"/>
      <c r="BT1317" s="136"/>
      <c r="BW1317" s="135"/>
    </row>
    <row r="1318" spans="63:75" x14ac:dyDescent="0.2">
      <c r="BK1318" s="176"/>
      <c r="BL1318" s="176"/>
      <c r="BN1318" s="139"/>
      <c r="BR1318" s="136"/>
      <c r="BS1318" s="149"/>
      <c r="BT1318" s="136"/>
      <c r="BW1318" s="135"/>
    </row>
    <row r="1319" spans="63:75" x14ac:dyDescent="0.2">
      <c r="BK1319" s="176"/>
      <c r="BL1319" s="176"/>
      <c r="BN1319" s="139"/>
      <c r="BR1319" s="136"/>
      <c r="BS1319" s="149"/>
      <c r="BT1319" s="136"/>
      <c r="BW1319" s="135"/>
    </row>
    <row r="1320" spans="63:75" x14ac:dyDescent="0.2">
      <c r="BK1320" s="176"/>
      <c r="BL1320" s="176"/>
      <c r="BN1320" s="139"/>
      <c r="BR1320" s="136"/>
      <c r="BS1320" s="149"/>
      <c r="BT1320" s="136"/>
      <c r="BW1320" s="135"/>
    </row>
    <row r="1321" spans="63:75" x14ac:dyDescent="0.2">
      <c r="BK1321" s="176"/>
      <c r="BL1321" s="176"/>
      <c r="BN1321" s="139"/>
      <c r="BR1321" s="136"/>
      <c r="BS1321" s="149"/>
      <c r="BT1321" s="136"/>
      <c r="BW1321" s="135"/>
    </row>
    <row r="1322" spans="63:75" x14ac:dyDescent="0.2">
      <c r="BK1322" s="176"/>
      <c r="BL1322" s="176"/>
      <c r="BN1322" s="139"/>
      <c r="BR1322" s="136"/>
      <c r="BS1322" s="149"/>
      <c r="BT1322" s="136"/>
      <c r="BW1322" s="135"/>
    </row>
    <row r="1323" spans="63:75" x14ac:dyDescent="0.2">
      <c r="BK1323" s="176"/>
      <c r="BL1323" s="176"/>
      <c r="BN1323" s="139"/>
      <c r="BR1323" s="136"/>
      <c r="BS1323" s="149"/>
      <c r="BT1323" s="136"/>
      <c r="BW1323" s="135"/>
    </row>
    <row r="1324" spans="63:75" x14ac:dyDescent="0.2">
      <c r="BK1324" s="176"/>
      <c r="BL1324" s="176"/>
      <c r="BN1324" s="139"/>
      <c r="BR1324" s="136"/>
      <c r="BS1324" s="149"/>
      <c r="BT1324" s="136"/>
      <c r="BW1324" s="135"/>
    </row>
    <row r="1325" spans="63:75" x14ac:dyDescent="0.2">
      <c r="BK1325" s="176"/>
      <c r="BL1325" s="176"/>
      <c r="BN1325" s="139"/>
      <c r="BR1325" s="136"/>
      <c r="BS1325" s="149"/>
      <c r="BT1325" s="136"/>
      <c r="BW1325" s="135"/>
    </row>
    <row r="1326" spans="63:75" x14ac:dyDescent="0.2">
      <c r="BK1326" s="176"/>
      <c r="BL1326" s="176"/>
      <c r="BN1326" s="139"/>
      <c r="BR1326" s="136"/>
      <c r="BS1326" s="149"/>
      <c r="BT1326" s="136"/>
      <c r="BW1326" s="135"/>
    </row>
    <row r="1327" spans="63:75" x14ac:dyDescent="0.2">
      <c r="BK1327" s="176"/>
      <c r="BL1327" s="176"/>
      <c r="BN1327" s="139"/>
      <c r="BR1327" s="136"/>
      <c r="BS1327" s="149"/>
      <c r="BT1327" s="136"/>
      <c r="BW1327" s="135"/>
    </row>
    <row r="1328" spans="63:75" x14ac:dyDescent="0.2">
      <c r="BK1328" s="176"/>
      <c r="BL1328" s="176"/>
      <c r="BN1328" s="139"/>
      <c r="BR1328" s="136"/>
      <c r="BS1328" s="149"/>
      <c r="BT1328" s="136"/>
      <c r="BW1328" s="135"/>
    </row>
    <row r="1329" spans="63:75" x14ac:dyDescent="0.2">
      <c r="BK1329" s="176"/>
      <c r="BL1329" s="176"/>
      <c r="BN1329" s="139"/>
      <c r="BR1329" s="136"/>
      <c r="BS1329" s="149"/>
      <c r="BT1329" s="136"/>
      <c r="BW1329" s="135"/>
    </row>
    <row r="1330" spans="63:75" x14ac:dyDescent="0.2">
      <c r="BK1330" s="176"/>
      <c r="BL1330" s="176"/>
      <c r="BN1330" s="139"/>
      <c r="BR1330" s="136"/>
      <c r="BS1330" s="149"/>
      <c r="BT1330" s="136"/>
      <c r="BW1330" s="135"/>
    </row>
    <row r="1331" spans="63:75" x14ac:dyDescent="0.2">
      <c r="BK1331" s="176"/>
      <c r="BL1331" s="176"/>
      <c r="BN1331" s="139"/>
      <c r="BR1331" s="136"/>
      <c r="BS1331" s="149"/>
      <c r="BT1331" s="136"/>
      <c r="BW1331" s="135"/>
    </row>
    <row r="1332" spans="63:75" x14ac:dyDescent="0.2">
      <c r="BK1332" s="176"/>
      <c r="BL1332" s="176"/>
      <c r="BN1332" s="139"/>
      <c r="BR1332" s="136"/>
      <c r="BS1332" s="149"/>
      <c r="BT1332" s="136"/>
      <c r="BW1332" s="135"/>
    </row>
    <row r="1333" spans="63:75" x14ac:dyDescent="0.2">
      <c r="BK1333" s="176"/>
      <c r="BL1333" s="176"/>
      <c r="BN1333" s="139"/>
      <c r="BR1333" s="136"/>
      <c r="BS1333" s="149"/>
      <c r="BT1333" s="136"/>
      <c r="BW1333" s="135"/>
    </row>
    <row r="1334" spans="63:75" x14ac:dyDescent="0.2">
      <c r="BK1334" s="176"/>
      <c r="BL1334" s="176"/>
      <c r="BN1334" s="139"/>
      <c r="BR1334" s="136"/>
      <c r="BS1334" s="149"/>
      <c r="BT1334" s="136"/>
      <c r="BW1334" s="135"/>
    </row>
    <row r="1335" spans="63:75" x14ac:dyDescent="0.2">
      <c r="BK1335" s="176"/>
      <c r="BL1335" s="176"/>
      <c r="BN1335" s="139"/>
      <c r="BR1335" s="136"/>
      <c r="BS1335" s="149"/>
      <c r="BT1335" s="136"/>
      <c r="BW1335" s="135"/>
    </row>
    <row r="1336" spans="63:75" x14ac:dyDescent="0.2">
      <c r="BK1336" s="176"/>
      <c r="BL1336" s="176"/>
      <c r="BN1336" s="139"/>
      <c r="BR1336" s="136"/>
      <c r="BS1336" s="149"/>
      <c r="BT1336" s="136"/>
      <c r="BW1336" s="135"/>
    </row>
    <row r="1337" spans="63:75" x14ac:dyDescent="0.2">
      <c r="BK1337" s="176"/>
      <c r="BL1337" s="176"/>
      <c r="BN1337" s="139"/>
      <c r="BR1337" s="136"/>
      <c r="BS1337" s="149"/>
      <c r="BT1337" s="136"/>
      <c r="BW1337" s="135"/>
    </row>
    <row r="1338" spans="63:75" x14ac:dyDescent="0.2">
      <c r="BK1338" s="176"/>
      <c r="BL1338" s="176"/>
      <c r="BN1338" s="139"/>
      <c r="BR1338" s="136"/>
      <c r="BS1338" s="149"/>
      <c r="BT1338" s="136"/>
      <c r="BW1338" s="135"/>
    </row>
    <row r="1339" spans="63:75" x14ac:dyDescent="0.2">
      <c r="BK1339" s="176"/>
      <c r="BL1339" s="176"/>
      <c r="BN1339" s="139"/>
      <c r="BR1339" s="136"/>
      <c r="BS1339" s="149"/>
      <c r="BT1339" s="136"/>
      <c r="BW1339" s="135"/>
    </row>
    <row r="1340" spans="63:75" x14ac:dyDescent="0.2">
      <c r="BK1340" s="176"/>
      <c r="BL1340" s="176"/>
      <c r="BN1340" s="139"/>
      <c r="BR1340" s="136"/>
      <c r="BS1340" s="149"/>
      <c r="BT1340" s="136"/>
      <c r="BW1340" s="135"/>
    </row>
    <row r="1341" spans="63:75" x14ac:dyDescent="0.2">
      <c r="BK1341" s="176"/>
      <c r="BL1341" s="176"/>
      <c r="BN1341" s="139"/>
      <c r="BR1341" s="136"/>
      <c r="BS1341" s="149"/>
      <c r="BT1341" s="136"/>
      <c r="BW1341" s="135"/>
    </row>
    <row r="1342" spans="63:75" x14ac:dyDescent="0.2">
      <c r="BK1342" s="176"/>
      <c r="BL1342" s="176"/>
      <c r="BN1342" s="139"/>
      <c r="BR1342" s="136"/>
      <c r="BS1342" s="149"/>
      <c r="BT1342" s="136"/>
      <c r="BW1342" s="135"/>
    </row>
    <row r="1343" spans="63:75" x14ac:dyDescent="0.2">
      <c r="BK1343" s="176"/>
      <c r="BL1343" s="176"/>
      <c r="BN1343" s="139"/>
      <c r="BR1343" s="136"/>
      <c r="BS1343" s="149"/>
      <c r="BT1343" s="136"/>
      <c r="BW1343" s="135"/>
    </row>
    <row r="1344" spans="63:75" x14ac:dyDescent="0.2">
      <c r="BK1344" s="176"/>
      <c r="BL1344" s="176"/>
      <c r="BN1344" s="139"/>
      <c r="BR1344" s="136"/>
      <c r="BS1344" s="149"/>
      <c r="BT1344" s="136"/>
      <c r="BW1344" s="135"/>
    </row>
    <row r="1345" spans="63:76" x14ac:dyDescent="0.2">
      <c r="BK1345" s="176"/>
      <c r="BL1345" s="176"/>
      <c r="BN1345" s="139"/>
      <c r="BR1345" s="136"/>
      <c r="BS1345" s="149"/>
      <c r="BT1345" s="136"/>
      <c r="BW1345" s="135"/>
    </row>
    <row r="1346" spans="63:76" x14ac:dyDescent="0.2">
      <c r="BK1346" s="176"/>
      <c r="BL1346" s="176"/>
      <c r="BN1346" s="139"/>
      <c r="BR1346" s="136"/>
      <c r="BS1346" s="149"/>
      <c r="BT1346" s="136"/>
      <c r="BW1346" s="135"/>
    </row>
    <row r="1347" spans="63:76" x14ac:dyDescent="0.2">
      <c r="BK1347" s="176"/>
      <c r="BL1347" s="176"/>
      <c r="BN1347" s="139"/>
      <c r="BR1347" s="136"/>
      <c r="BS1347" s="149"/>
      <c r="BT1347" s="136"/>
      <c r="BW1347" s="135"/>
    </row>
    <row r="1348" spans="63:76" x14ac:dyDescent="0.2">
      <c r="BK1348" s="176"/>
      <c r="BL1348" s="176"/>
      <c r="BN1348" s="139"/>
      <c r="BR1348" s="136"/>
      <c r="BS1348" s="149"/>
      <c r="BT1348" s="136"/>
      <c r="BW1348" s="135"/>
    </row>
    <row r="1349" spans="63:76" x14ac:dyDescent="0.2">
      <c r="BK1349" s="176"/>
      <c r="BL1349" s="176"/>
      <c r="BN1349" s="139"/>
      <c r="BR1349" s="136"/>
      <c r="BS1349" s="149"/>
      <c r="BT1349" s="136"/>
      <c r="BW1349" s="135"/>
    </row>
    <row r="1350" spans="63:76" x14ac:dyDescent="0.2">
      <c r="BK1350" s="176"/>
      <c r="BL1350" s="176"/>
      <c r="BN1350" s="139"/>
      <c r="BR1350" s="136"/>
      <c r="BS1350" s="149"/>
      <c r="BT1350" s="136"/>
      <c r="BW1350" s="135"/>
    </row>
    <row r="1351" spans="63:76" x14ac:dyDescent="0.2">
      <c r="BK1351" s="176"/>
      <c r="BL1351" s="176"/>
      <c r="BN1351" s="139"/>
      <c r="BR1351" s="136"/>
      <c r="BS1351" s="149"/>
      <c r="BT1351" s="136"/>
      <c r="BW1351" s="135"/>
    </row>
    <row r="1352" spans="63:76" x14ac:dyDescent="0.2">
      <c r="BK1352" s="176"/>
      <c r="BL1352" s="176"/>
      <c r="BN1352" s="139"/>
      <c r="BR1352" s="136"/>
      <c r="BS1352" s="149"/>
      <c r="BT1352" s="136"/>
      <c r="BW1352" s="135"/>
    </row>
    <row r="1353" spans="63:76" x14ac:dyDescent="0.2">
      <c r="BK1353" s="176"/>
      <c r="BL1353" s="176"/>
      <c r="BN1353" s="139"/>
      <c r="BR1353" s="136"/>
      <c r="BS1353" s="149"/>
      <c r="BT1353" s="136"/>
      <c r="BW1353" s="135"/>
    </row>
    <row r="1354" spans="63:76" x14ac:dyDescent="0.2">
      <c r="BK1354" s="176"/>
      <c r="BL1354" s="176"/>
      <c r="BN1354" s="139"/>
      <c r="BR1354" s="136"/>
      <c r="BS1354" s="149"/>
      <c r="BT1354" s="136"/>
      <c r="BW1354" s="135"/>
    </row>
    <row r="1355" spans="63:76" x14ac:dyDescent="0.2">
      <c r="BK1355" s="176"/>
      <c r="BL1355" s="176"/>
      <c r="BN1355" s="139"/>
      <c r="BR1355" s="136"/>
      <c r="BS1355" s="149"/>
      <c r="BT1355" s="136"/>
      <c r="BW1355" s="135"/>
    </row>
    <row r="1356" spans="63:76" x14ac:dyDescent="0.2">
      <c r="BK1356" s="176"/>
      <c r="BL1356" s="176"/>
      <c r="BN1356" s="139"/>
      <c r="BR1356" s="136"/>
      <c r="BS1356" s="149"/>
      <c r="BT1356" s="136"/>
      <c r="BW1356" s="135"/>
      <c r="BX1356" s="369"/>
    </row>
    <row r="1357" spans="63:76" x14ac:dyDescent="0.2">
      <c r="BK1357" s="176"/>
      <c r="BL1357" s="176"/>
      <c r="BN1357" s="139"/>
      <c r="BR1357" s="136"/>
      <c r="BS1357" s="149"/>
      <c r="BT1357" s="136"/>
      <c r="BW1357" s="135"/>
      <c r="BX1357" s="369"/>
    </row>
    <row r="1358" spans="63:76" x14ac:dyDescent="0.2">
      <c r="BK1358" s="176"/>
      <c r="BL1358" s="176"/>
      <c r="BM1358" s="176"/>
      <c r="BR1358" s="136"/>
      <c r="BS1358" s="149"/>
      <c r="BT1358" s="136"/>
      <c r="BW1358" s="135"/>
      <c r="BX1358" s="369"/>
    </row>
    <row r="1359" spans="63:76" x14ac:dyDescent="0.2">
      <c r="BK1359" s="176"/>
      <c r="BL1359" s="176"/>
      <c r="BM1359" s="176"/>
      <c r="BR1359" s="136"/>
      <c r="BS1359" s="149"/>
      <c r="BT1359" s="136"/>
      <c r="BW1359" s="135"/>
    </row>
    <row r="1360" spans="63:76" x14ac:dyDescent="0.2">
      <c r="BK1360" s="176"/>
      <c r="BL1360" s="176"/>
      <c r="BM1360" s="176"/>
      <c r="BR1360" s="136"/>
      <c r="BS1360" s="149"/>
      <c r="BT1360" s="136"/>
      <c r="BW1360" s="135"/>
    </row>
    <row r="1361" spans="63:76" x14ac:dyDescent="0.2">
      <c r="BK1361" s="176"/>
      <c r="BL1361" s="176"/>
      <c r="BM1361" s="176"/>
      <c r="BR1361" s="136"/>
      <c r="BS1361" s="149"/>
      <c r="BT1361" s="136"/>
      <c r="BW1361" s="135"/>
    </row>
    <row r="1362" spans="63:76" x14ac:dyDescent="0.2">
      <c r="BK1362" s="176"/>
      <c r="BL1362" s="176"/>
      <c r="BM1362" s="176"/>
      <c r="BR1362" s="136"/>
      <c r="BS1362" s="149"/>
      <c r="BT1362" s="136"/>
      <c r="BW1362" s="135"/>
    </row>
    <row r="1363" spans="63:76" x14ac:dyDescent="0.2">
      <c r="BK1363" s="176"/>
      <c r="BL1363" s="176"/>
      <c r="BM1363" s="176"/>
      <c r="BR1363" s="136"/>
      <c r="BS1363" s="149"/>
      <c r="BT1363" s="136"/>
      <c r="BW1363" s="135"/>
    </row>
    <row r="1364" spans="63:76" x14ac:dyDescent="0.2">
      <c r="BK1364" s="267"/>
      <c r="BL1364" s="176"/>
      <c r="BM1364" s="176"/>
      <c r="BR1364" s="136"/>
      <c r="BS1364" s="149"/>
      <c r="BT1364" s="136"/>
      <c r="BW1364" s="135"/>
    </row>
    <row r="1365" spans="63:76" x14ac:dyDescent="0.2">
      <c r="BK1365" s="267"/>
      <c r="BL1365" s="176"/>
      <c r="BM1365" s="176"/>
      <c r="BR1365" s="136"/>
      <c r="BS1365" s="149"/>
      <c r="BT1365" s="136"/>
      <c r="BW1365" s="135"/>
    </row>
    <row r="1366" spans="63:76" x14ac:dyDescent="0.2">
      <c r="BK1366" s="267"/>
      <c r="BL1366" s="176"/>
      <c r="BM1366" s="176"/>
      <c r="BR1366" s="136"/>
      <c r="BS1366" s="149"/>
      <c r="BT1366" s="136"/>
      <c r="BW1366" s="135"/>
    </row>
    <row r="1367" spans="63:76" x14ac:dyDescent="0.2">
      <c r="BK1367" s="267"/>
      <c r="BL1367" s="176"/>
      <c r="BM1367" s="176"/>
      <c r="BR1367" s="136"/>
      <c r="BS1367" s="149"/>
      <c r="BT1367" s="136"/>
      <c r="BW1367" s="135"/>
    </row>
    <row r="1368" spans="63:76" x14ac:dyDescent="0.2">
      <c r="BK1368" s="267"/>
      <c r="BL1368" s="176"/>
      <c r="BM1368" s="176"/>
      <c r="BR1368" s="136"/>
      <c r="BS1368" s="149"/>
      <c r="BT1368" s="136"/>
      <c r="BW1368" s="135"/>
    </row>
    <row r="1369" spans="63:76" x14ac:dyDescent="0.2">
      <c r="BK1369" s="267"/>
      <c r="BL1369" s="176"/>
      <c r="BM1369" s="176"/>
      <c r="BR1369" s="136"/>
      <c r="BS1369" s="149"/>
      <c r="BT1369" s="136"/>
      <c r="BW1369" s="135"/>
    </row>
    <row r="1370" spans="63:76" x14ac:dyDescent="0.2">
      <c r="BK1370" s="267"/>
      <c r="BL1370" s="176"/>
      <c r="BM1370" s="176"/>
      <c r="BR1370" s="136"/>
      <c r="BS1370" s="149"/>
      <c r="BT1370" s="136"/>
      <c r="BW1370" s="135"/>
    </row>
    <row r="1371" spans="63:76" x14ac:dyDescent="0.2">
      <c r="BK1371" s="267"/>
      <c r="BL1371" s="176"/>
      <c r="BM1371" s="176"/>
      <c r="BR1371" s="136"/>
      <c r="BS1371" s="149"/>
      <c r="BT1371" s="136"/>
      <c r="BW1371" s="135"/>
    </row>
    <row r="1372" spans="63:76" x14ac:dyDescent="0.2">
      <c r="BK1372" s="267"/>
      <c r="BL1372" s="176"/>
      <c r="BM1372" s="176"/>
      <c r="BR1372" s="136"/>
      <c r="BS1372" s="149"/>
      <c r="BT1372" s="136"/>
      <c r="BW1372" s="135"/>
    </row>
    <row r="1373" spans="63:76" x14ac:dyDescent="0.2">
      <c r="BK1373" s="267"/>
      <c r="BL1373" s="176"/>
      <c r="BM1373" s="176"/>
      <c r="BR1373" s="136"/>
      <c r="BS1373" s="149"/>
      <c r="BT1373" s="136"/>
      <c r="BW1373" s="135"/>
    </row>
    <row r="1374" spans="63:76" x14ac:dyDescent="0.2">
      <c r="BK1374" s="267"/>
      <c r="BL1374" s="176"/>
      <c r="BM1374" s="176"/>
      <c r="BR1374" s="136"/>
      <c r="BS1374" s="149"/>
      <c r="BT1374" s="136"/>
      <c r="BW1374" s="135"/>
    </row>
    <row r="1375" spans="63:76" x14ac:dyDescent="0.2">
      <c r="BK1375" s="267"/>
      <c r="BL1375" s="176"/>
      <c r="BM1375" s="176"/>
      <c r="BR1375" s="136"/>
      <c r="BS1375" s="149"/>
      <c r="BT1375" s="136"/>
      <c r="BW1375" s="135"/>
    </row>
    <row r="1376" spans="63:76" x14ac:dyDescent="0.2">
      <c r="BK1376" s="267"/>
      <c r="BL1376" s="176"/>
      <c r="BM1376" s="176"/>
      <c r="BR1376" s="136"/>
      <c r="BS1376" s="149"/>
      <c r="BT1376" s="136"/>
      <c r="BW1376" s="135"/>
      <c r="BX1376" s="369"/>
    </row>
    <row r="1377" spans="63:76" x14ac:dyDescent="0.2">
      <c r="BK1377" s="267"/>
      <c r="BL1377" s="176"/>
      <c r="BM1377" s="176"/>
      <c r="BR1377" s="136"/>
      <c r="BS1377" s="149"/>
      <c r="BT1377" s="136"/>
      <c r="BW1377" s="135"/>
      <c r="BX1377" s="369"/>
    </row>
    <row r="1378" spans="63:76" x14ac:dyDescent="0.2">
      <c r="BK1378" s="267"/>
      <c r="BL1378" s="176"/>
      <c r="BM1378" s="176"/>
      <c r="BR1378" s="136"/>
      <c r="BS1378" s="149"/>
      <c r="BT1378" s="136"/>
      <c r="BW1378" s="135"/>
      <c r="BX1378" s="369"/>
    </row>
    <row r="1379" spans="63:76" x14ac:dyDescent="0.2">
      <c r="BK1379" s="267"/>
      <c r="BL1379" s="176"/>
      <c r="BM1379" s="176"/>
      <c r="BR1379" s="136"/>
      <c r="BS1379" s="149"/>
      <c r="BT1379" s="136"/>
      <c r="BW1379" s="135"/>
      <c r="BX1379" s="369"/>
    </row>
    <row r="1380" spans="63:76" x14ac:dyDescent="0.2">
      <c r="BK1380" s="267"/>
      <c r="BL1380" s="176"/>
      <c r="BM1380" s="176"/>
      <c r="BR1380" s="136"/>
      <c r="BS1380" s="149"/>
      <c r="BT1380" s="136"/>
      <c r="BW1380" s="135"/>
      <c r="BX1380" s="365"/>
    </row>
    <row r="1381" spans="63:76" x14ac:dyDescent="0.2">
      <c r="BK1381" s="267"/>
      <c r="BL1381" s="176"/>
      <c r="BM1381" s="176"/>
      <c r="BR1381" s="136"/>
      <c r="BS1381" s="149"/>
      <c r="BT1381" s="136"/>
      <c r="BW1381" s="135"/>
      <c r="BX1381" s="365"/>
    </row>
    <row r="1382" spans="63:76" x14ac:dyDescent="0.2">
      <c r="BK1382" s="267"/>
      <c r="BL1382" s="176"/>
      <c r="BM1382" s="176"/>
      <c r="BR1382" s="136"/>
      <c r="BS1382" s="149"/>
      <c r="BT1382" s="136"/>
      <c r="BW1382" s="135"/>
      <c r="BX1382" s="365"/>
    </row>
    <row r="1383" spans="63:76" x14ac:dyDescent="0.2">
      <c r="BK1383" s="267"/>
      <c r="BL1383" s="176"/>
      <c r="BM1383" s="176"/>
      <c r="BR1383" s="136"/>
      <c r="BS1383" s="149"/>
      <c r="BT1383" s="136"/>
      <c r="BW1383" s="135"/>
      <c r="BX1383" s="365"/>
    </row>
    <row r="1384" spans="63:76" x14ac:dyDescent="0.2">
      <c r="BK1384" s="267"/>
      <c r="BL1384" s="176"/>
      <c r="BM1384" s="176"/>
      <c r="BR1384" s="136"/>
      <c r="BS1384" s="149"/>
      <c r="BT1384" s="136"/>
      <c r="BW1384" s="135"/>
    </row>
    <row r="1385" spans="63:76" x14ac:dyDescent="0.2">
      <c r="BK1385" s="267"/>
      <c r="BL1385" s="176"/>
      <c r="BM1385" s="176"/>
      <c r="BR1385" s="136"/>
      <c r="BS1385" s="149"/>
      <c r="BT1385" s="136"/>
      <c r="BW1385" s="135"/>
    </row>
    <row r="1386" spans="63:76" x14ac:dyDescent="0.2">
      <c r="BK1386" s="267"/>
      <c r="BL1386" s="176"/>
      <c r="BM1386" s="176"/>
      <c r="BR1386" s="136"/>
      <c r="BS1386" s="149"/>
      <c r="BT1386" s="136"/>
      <c r="BW1386" s="135"/>
    </row>
    <row r="1387" spans="63:76" x14ac:dyDescent="0.2">
      <c r="BK1387" s="267"/>
      <c r="BL1387" s="176"/>
      <c r="BM1387" s="176"/>
      <c r="BR1387" s="136"/>
      <c r="BS1387" s="149"/>
      <c r="BT1387" s="136"/>
      <c r="BW1387" s="135"/>
    </row>
    <row r="1388" spans="63:76" x14ac:dyDescent="0.2">
      <c r="BK1388" s="267"/>
      <c r="BL1388" s="176"/>
      <c r="BM1388" s="176"/>
      <c r="BR1388" s="136"/>
      <c r="BS1388" s="149"/>
      <c r="BT1388" s="136"/>
      <c r="BW1388" s="135"/>
    </row>
    <row r="1389" spans="63:76" x14ac:dyDescent="0.2">
      <c r="BK1389" s="267"/>
      <c r="BL1389" s="176"/>
      <c r="BM1389" s="176"/>
      <c r="BR1389" s="136"/>
      <c r="BS1389" s="149"/>
      <c r="BT1389" s="136"/>
      <c r="BW1389" s="135"/>
    </row>
    <row r="1390" spans="63:76" x14ac:dyDescent="0.2">
      <c r="BK1390" s="267"/>
      <c r="BL1390" s="176"/>
      <c r="BM1390" s="176"/>
      <c r="BR1390" s="136"/>
      <c r="BS1390" s="149"/>
      <c r="BT1390" s="136"/>
      <c r="BW1390" s="135"/>
    </row>
    <row r="1391" spans="63:76" x14ac:dyDescent="0.2">
      <c r="BK1391" s="267"/>
      <c r="BL1391" s="176"/>
      <c r="BM1391" s="176"/>
      <c r="BR1391" s="136"/>
      <c r="BS1391" s="149"/>
      <c r="BT1391" s="136"/>
      <c r="BW1391" s="135"/>
    </row>
    <row r="1392" spans="63:76" x14ac:dyDescent="0.2">
      <c r="BK1392" s="267"/>
      <c r="BL1392" s="176"/>
      <c r="BM1392" s="176"/>
      <c r="BR1392" s="136"/>
      <c r="BS1392" s="149"/>
      <c r="BT1392" s="136"/>
      <c r="BW1392" s="135"/>
    </row>
    <row r="1393" spans="63:76" x14ac:dyDescent="0.2">
      <c r="BK1393" s="267"/>
      <c r="BL1393" s="176"/>
      <c r="BM1393" s="176"/>
      <c r="BR1393" s="136"/>
      <c r="BS1393" s="149"/>
      <c r="BT1393" s="136"/>
      <c r="BW1393" s="135"/>
    </row>
    <row r="1394" spans="63:76" x14ac:dyDescent="0.2">
      <c r="BK1394" s="267"/>
      <c r="BL1394" s="176"/>
      <c r="BM1394" s="176"/>
      <c r="BR1394" s="136"/>
      <c r="BS1394" s="149"/>
      <c r="BT1394" s="136"/>
      <c r="BW1394" s="135"/>
    </row>
    <row r="1395" spans="63:76" x14ac:dyDescent="0.2">
      <c r="BK1395" s="267"/>
      <c r="BL1395" s="176"/>
      <c r="BM1395" s="176"/>
      <c r="BR1395" s="136"/>
      <c r="BS1395" s="149"/>
      <c r="BT1395" s="136"/>
      <c r="BW1395" s="135"/>
    </row>
    <row r="1396" spans="63:76" x14ac:dyDescent="0.2">
      <c r="BK1396" s="267"/>
      <c r="BL1396" s="176"/>
      <c r="BM1396" s="176"/>
      <c r="BR1396" s="136"/>
      <c r="BS1396" s="149"/>
      <c r="BT1396" s="136"/>
      <c r="BW1396" s="135"/>
    </row>
    <row r="1397" spans="63:76" x14ac:dyDescent="0.2">
      <c r="BK1397" s="267"/>
      <c r="BL1397" s="176"/>
      <c r="BM1397" s="176"/>
      <c r="BR1397" s="136"/>
      <c r="BS1397" s="149"/>
      <c r="BT1397" s="136"/>
      <c r="BW1397" s="135"/>
    </row>
    <row r="1398" spans="63:76" x14ac:dyDescent="0.2">
      <c r="BK1398" s="267"/>
      <c r="BL1398" s="176"/>
      <c r="BM1398" s="176"/>
      <c r="BR1398" s="136"/>
      <c r="BS1398" s="149"/>
      <c r="BT1398" s="136"/>
      <c r="BW1398" s="135"/>
    </row>
    <row r="1399" spans="63:76" x14ac:dyDescent="0.2">
      <c r="BK1399" s="267"/>
      <c r="BL1399" s="176"/>
      <c r="BM1399" s="176"/>
      <c r="BR1399" s="136"/>
      <c r="BS1399" s="149"/>
      <c r="BT1399" s="136"/>
      <c r="BW1399" s="135"/>
    </row>
    <row r="1400" spans="63:76" x14ac:dyDescent="0.2">
      <c r="BK1400" s="267"/>
      <c r="BL1400" s="176"/>
      <c r="BM1400" s="176"/>
      <c r="BR1400" s="136"/>
      <c r="BS1400" s="149"/>
      <c r="BT1400" s="136"/>
      <c r="BW1400" s="135"/>
    </row>
    <row r="1401" spans="63:76" x14ac:dyDescent="0.2">
      <c r="BK1401" s="267"/>
      <c r="BL1401" s="176"/>
      <c r="BM1401" s="176"/>
      <c r="BR1401" s="136"/>
      <c r="BS1401" s="149"/>
      <c r="BT1401" s="136"/>
      <c r="BW1401" s="135"/>
    </row>
    <row r="1402" spans="63:76" x14ac:dyDescent="0.2">
      <c r="BK1402" s="267"/>
      <c r="BL1402" s="176"/>
      <c r="BM1402" s="176"/>
      <c r="BR1402" s="136"/>
      <c r="BS1402" s="149"/>
      <c r="BT1402" s="136"/>
      <c r="BW1402" s="135"/>
    </row>
    <row r="1403" spans="63:76" x14ac:dyDescent="0.2">
      <c r="BK1403" s="267"/>
      <c r="BL1403" s="176"/>
      <c r="BM1403" s="176"/>
      <c r="BR1403" s="136"/>
      <c r="BS1403" s="149"/>
      <c r="BT1403" s="136"/>
      <c r="BW1403" s="135"/>
    </row>
    <row r="1404" spans="63:76" x14ac:dyDescent="0.2">
      <c r="BK1404" s="267"/>
      <c r="BL1404" s="176"/>
      <c r="BM1404" s="176"/>
      <c r="BR1404" s="136"/>
      <c r="BS1404" s="149"/>
      <c r="BT1404" s="136"/>
      <c r="BW1404" s="135"/>
      <c r="BX1404" s="365"/>
    </row>
    <row r="1405" spans="63:76" x14ac:dyDescent="0.2">
      <c r="BK1405" s="267"/>
      <c r="BL1405" s="176"/>
      <c r="BM1405" s="176"/>
      <c r="BR1405" s="136"/>
      <c r="BS1405" s="149"/>
      <c r="BT1405" s="136"/>
      <c r="BW1405" s="135"/>
      <c r="BX1405" s="365"/>
    </row>
    <row r="1406" spans="63:76" x14ac:dyDescent="0.2">
      <c r="BK1406" s="267"/>
      <c r="BL1406" s="176"/>
      <c r="BM1406" s="176"/>
      <c r="BR1406" s="136"/>
      <c r="BS1406" s="149"/>
      <c r="BT1406" s="136"/>
      <c r="BW1406" s="135"/>
      <c r="BX1406" s="365"/>
    </row>
    <row r="1407" spans="63:76" x14ac:dyDescent="0.2">
      <c r="BK1407" s="267"/>
      <c r="BL1407" s="176"/>
      <c r="BM1407" s="176"/>
      <c r="BR1407" s="136"/>
      <c r="BS1407" s="149"/>
      <c r="BT1407" s="136"/>
      <c r="BW1407" s="135"/>
      <c r="BX1407" s="365"/>
    </row>
    <row r="1408" spans="63:76" x14ac:dyDescent="0.2">
      <c r="BK1408" s="267"/>
      <c r="BL1408" s="176"/>
      <c r="BM1408" s="176"/>
      <c r="BR1408" s="136"/>
      <c r="BS1408" s="149"/>
      <c r="BT1408" s="136"/>
      <c r="BW1408" s="135"/>
      <c r="BX1408" s="365"/>
    </row>
    <row r="1409" spans="63:76" x14ac:dyDescent="0.2">
      <c r="BK1409" s="267"/>
      <c r="BL1409" s="176"/>
      <c r="BM1409" s="176"/>
      <c r="BR1409" s="136"/>
      <c r="BS1409" s="149"/>
      <c r="BT1409" s="136"/>
      <c r="BW1409" s="135"/>
      <c r="BX1409" s="365"/>
    </row>
    <row r="1410" spans="63:76" x14ac:dyDescent="0.2">
      <c r="BK1410" s="267"/>
      <c r="BL1410" s="176"/>
      <c r="BM1410" s="176"/>
      <c r="BR1410" s="136"/>
      <c r="BS1410" s="149"/>
      <c r="BT1410" s="136"/>
      <c r="BW1410" s="135"/>
      <c r="BX1410" s="365"/>
    </row>
    <row r="1411" spans="63:76" x14ac:dyDescent="0.2">
      <c r="BK1411" s="267"/>
      <c r="BL1411" s="176"/>
      <c r="BM1411" s="176"/>
      <c r="BR1411" s="136"/>
      <c r="BS1411" s="149"/>
      <c r="BT1411" s="136"/>
      <c r="BW1411" s="135"/>
    </row>
    <row r="1412" spans="63:76" x14ac:dyDescent="0.2">
      <c r="BK1412" s="267"/>
      <c r="BL1412" s="176"/>
      <c r="BM1412" s="176"/>
      <c r="BR1412" s="136"/>
      <c r="BS1412" s="149"/>
      <c r="BT1412" s="136"/>
      <c r="BW1412" s="135"/>
      <c r="BX1412" s="365"/>
    </row>
    <row r="1413" spans="63:76" x14ac:dyDescent="0.2">
      <c r="BK1413" s="267"/>
      <c r="BL1413" s="176"/>
      <c r="BM1413" s="176"/>
      <c r="BR1413" s="136"/>
      <c r="BS1413" s="149"/>
      <c r="BT1413" s="136"/>
      <c r="BW1413" s="135"/>
      <c r="BX1413" s="365"/>
    </row>
    <row r="1414" spans="63:76" x14ac:dyDescent="0.2">
      <c r="BK1414" s="267"/>
      <c r="BL1414" s="176"/>
      <c r="BM1414" s="176"/>
      <c r="BR1414" s="136"/>
      <c r="BS1414" s="149"/>
      <c r="BT1414" s="136"/>
      <c r="BW1414" s="135"/>
      <c r="BX1414" s="365"/>
    </row>
    <row r="1415" spans="63:76" x14ac:dyDescent="0.2">
      <c r="BK1415" s="267"/>
      <c r="BR1415" s="136"/>
      <c r="BS1415" s="149"/>
      <c r="BT1415" s="136"/>
      <c r="BW1415" s="135"/>
      <c r="BX1415" s="365"/>
    </row>
    <row r="1416" spans="63:76" x14ac:dyDescent="0.2">
      <c r="BK1416" s="267"/>
      <c r="BR1416" s="136"/>
      <c r="BS1416" s="149"/>
      <c r="BT1416" s="136"/>
      <c r="BW1416" s="135"/>
      <c r="BX1416" s="365"/>
    </row>
    <row r="1417" spans="63:76" x14ac:dyDescent="0.2">
      <c r="BK1417" s="267"/>
      <c r="BR1417" s="136"/>
      <c r="BS1417" s="149"/>
      <c r="BT1417" s="136"/>
      <c r="BW1417" s="135"/>
      <c r="BX1417" s="365"/>
    </row>
    <row r="1418" spans="63:76" x14ac:dyDescent="0.2">
      <c r="BK1418" s="267"/>
      <c r="BR1418" s="136"/>
      <c r="BS1418" s="149"/>
      <c r="BT1418" s="136"/>
      <c r="BW1418" s="135"/>
      <c r="BX1418" s="365"/>
    </row>
    <row r="1419" spans="63:76" x14ac:dyDescent="0.2">
      <c r="BK1419" s="267"/>
      <c r="BR1419" s="136"/>
      <c r="BS1419" s="149"/>
      <c r="BT1419" s="136"/>
      <c r="BW1419" s="135"/>
      <c r="BX1419" s="365"/>
    </row>
    <row r="1420" spans="63:76" x14ac:dyDescent="0.2">
      <c r="BK1420" s="267"/>
      <c r="BR1420" s="136"/>
      <c r="BS1420" s="149"/>
      <c r="BT1420" s="136"/>
      <c r="BW1420" s="135"/>
      <c r="BX1420" s="365"/>
    </row>
    <row r="1421" spans="63:76" x14ac:dyDescent="0.2">
      <c r="BR1421" s="136"/>
      <c r="BS1421" s="149"/>
      <c r="BT1421" s="136"/>
      <c r="BW1421" s="135"/>
      <c r="BX1421" s="365"/>
    </row>
    <row r="1422" spans="63:76" x14ac:dyDescent="0.2">
      <c r="BR1422" s="136"/>
      <c r="BS1422" s="149"/>
      <c r="BT1422" s="136"/>
      <c r="BW1422" s="135"/>
      <c r="BX1422" s="365"/>
    </row>
    <row r="1423" spans="63:76" x14ac:dyDescent="0.2">
      <c r="BR1423" s="136"/>
      <c r="BS1423" s="149"/>
      <c r="BT1423" s="136"/>
      <c r="BW1423" s="135"/>
      <c r="BX1423" s="365"/>
    </row>
    <row r="1424" spans="63:76" x14ac:dyDescent="0.2">
      <c r="BR1424" s="136"/>
      <c r="BS1424" s="149"/>
      <c r="BT1424" s="136"/>
      <c r="BW1424" s="135"/>
      <c r="BX1424" s="365"/>
    </row>
    <row r="1425" spans="63:76" x14ac:dyDescent="0.2">
      <c r="BL1425" s="176"/>
      <c r="BM1425" s="176"/>
      <c r="BR1425" s="136"/>
      <c r="BS1425" s="149"/>
      <c r="BT1425" s="136"/>
      <c r="BW1425" s="135"/>
      <c r="BX1425" s="365"/>
    </row>
    <row r="1426" spans="63:76" x14ac:dyDescent="0.2">
      <c r="BR1426" s="136"/>
      <c r="BS1426" s="149"/>
      <c r="BT1426" s="136"/>
      <c r="BW1426" s="135"/>
      <c r="BX1426" s="365"/>
    </row>
    <row r="1427" spans="63:76" x14ac:dyDescent="0.2">
      <c r="BR1427" s="136"/>
      <c r="BS1427" s="149"/>
      <c r="BT1427" s="136"/>
      <c r="BW1427" s="135"/>
      <c r="BX1427" s="365"/>
    </row>
    <row r="1428" spans="63:76" x14ac:dyDescent="0.2">
      <c r="BR1428" s="136"/>
      <c r="BS1428" s="149"/>
      <c r="BT1428" s="136"/>
      <c r="BW1428" s="135"/>
      <c r="BX1428" s="369"/>
    </row>
    <row r="1429" spans="63:76" x14ac:dyDescent="0.2">
      <c r="BR1429" s="136"/>
      <c r="BS1429" s="149"/>
      <c r="BT1429" s="136"/>
      <c r="BW1429" s="135"/>
      <c r="BX1429" s="369"/>
    </row>
    <row r="1430" spans="63:76" x14ac:dyDescent="0.2">
      <c r="BR1430" s="136"/>
      <c r="BS1430" s="149"/>
      <c r="BT1430" s="136"/>
      <c r="BW1430" s="135"/>
      <c r="BX1430" s="369"/>
    </row>
    <row r="1431" spans="63:76" x14ac:dyDescent="0.2">
      <c r="BK1431" s="267"/>
      <c r="BR1431" s="136"/>
      <c r="BS1431" s="149"/>
      <c r="BT1431" s="136"/>
      <c r="BW1431" s="135"/>
      <c r="BX1431" s="365"/>
    </row>
    <row r="1432" spans="63:76" x14ac:dyDescent="0.2">
      <c r="BR1432" s="136"/>
      <c r="BS1432" s="149"/>
      <c r="BT1432" s="136"/>
      <c r="BW1432" s="135"/>
      <c r="BX1432" s="365"/>
    </row>
    <row r="1433" spans="63:76" x14ac:dyDescent="0.2">
      <c r="BR1433" s="136"/>
      <c r="BS1433" s="149"/>
      <c r="BT1433" s="136"/>
      <c r="BW1433" s="135"/>
      <c r="BX1433" s="365"/>
    </row>
    <row r="1434" spans="63:76" x14ac:dyDescent="0.2">
      <c r="BR1434" s="136"/>
      <c r="BS1434" s="149"/>
      <c r="BT1434" s="136"/>
      <c r="BW1434" s="135"/>
      <c r="BX1434" s="365"/>
    </row>
    <row r="1435" spans="63:76" x14ac:dyDescent="0.2">
      <c r="BR1435" s="136"/>
      <c r="BS1435" s="149"/>
      <c r="BT1435" s="136"/>
      <c r="BW1435" s="135"/>
      <c r="BX1435" s="365"/>
    </row>
    <row r="1436" spans="63:76" x14ac:dyDescent="0.2">
      <c r="BR1436" s="136"/>
      <c r="BS1436" s="149"/>
      <c r="BT1436" s="136"/>
      <c r="BW1436" s="135"/>
      <c r="BX1436" s="365"/>
    </row>
    <row r="1437" spans="63:76" x14ac:dyDescent="0.2">
      <c r="BR1437" s="136"/>
      <c r="BS1437" s="149"/>
      <c r="BT1437" s="136"/>
      <c r="BW1437" s="135"/>
      <c r="BX1437" s="365"/>
    </row>
    <row r="1438" spans="63:76" x14ac:dyDescent="0.2">
      <c r="BR1438" s="136"/>
      <c r="BS1438" s="149"/>
      <c r="BT1438" s="136"/>
      <c r="BW1438" s="135"/>
      <c r="BX1438" s="365"/>
    </row>
    <row r="1439" spans="63:76" x14ac:dyDescent="0.2">
      <c r="BR1439" s="136"/>
      <c r="BS1439" s="149"/>
      <c r="BT1439" s="136"/>
      <c r="BW1439" s="135"/>
      <c r="BX1439" s="365"/>
    </row>
    <row r="1440" spans="63:76" x14ac:dyDescent="0.2">
      <c r="BR1440" s="136"/>
      <c r="BS1440" s="149"/>
      <c r="BT1440" s="136"/>
      <c r="BW1440" s="135"/>
      <c r="BX1440" s="365"/>
    </row>
    <row r="1441" spans="70:75" x14ac:dyDescent="0.2">
      <c r="BR1441" s="136"/>
      <c r="BS1441" s="149"/>
      <c r="BT1441" s="136"/>
      <c r="BW1441" s="135"/>
    </row>
    <row r="1442" spans="70:75" x14ac:dyDescent="0.2">
      <c r="BR1442" s="136"/>
      <c r="BS1442" s="149"/>
      <c r="BT1442" s="136"/>
      <c r="BW1442" s="135"/>
    </row>
    <row r="1443" spans="70:75" x14ac:dyDescent="0.2">
      <c r="BR1443" s="136"/>
      <c r="BS1443" s="149"/>
      <c r="BT1443" s="136"/>
      <c r="BW1443" s="135"/>
    </row>
    <row r="1444" spans="70:75" x14ac:dyDescent="0.2">
      <c r="BR1444" s="136"/>
      <c r="BS1444" s="149"/>
      <c r="BT1444" s="136"/>
      <c r="BW1444" s="135"/>
    </row>
    <row r="1445" spans="70:75" x14ac:dyDescent="0.2">
      <c r="BR1445" s="136"/>
      <c r="BS1445" s="149"/>
      <c r="BT1445" s="136"/>
      <c r="BW1445" s="135"/>
    </row>
    <row r="1446" spans="70:75" x14ac:dyDescent="0.2">
      <c r="BR1446" s="136"/>
      <c r="BS1446" s="149"/>
      <c r="BT1446" s="136"/>
      <c r="BW1446" s="135"/>
    </row>
    <row r="1447" spans="70:75" x14ac:dyDescent="0.2">
      <c r="BR1447" s="136"/>
      <c r="BS1447" s="149"/>
      <c r="BT1447" s="136"/>
      <c r="BW1447" s="135"/>
    </row>
    <row r="1448" spans="70:75" x14ac:dyDescent="0.2">
      <c r="BR1448" s="136"/>
      <c r="BS1448" s="149"/>
      <c r="BT1448" s="136"/>
      <c r="BW1448" s="135"/>
    </row>
    <row r="1449" spans="70:75" x14ac:dyDescent="0.2">
      <c r="BR1449" s="136"/>
      <c r="BS1449" s="149"/>
      <c r="BT1449" s="136"/>
      <c r="BW1449" s="135"/>
    </row>
    <row r="1450" spans="70:75" x14ac:dyDescent="0.2">
      <c r="BR1450" s="136"/>
      <c r="BS1450" s="149"/>
      <c r="BT1450" s="136"/>
      <c r="BW1450" s="135"/>
    </row>
    <row r="1451" spans="70:75" x14ac:dyDescent="0.2">
      <c r="BR1451" s="136"/>
      <c r="BS1451" s="149"/>
      <c r="BT1451" s="136"/>
      <c r="BW1451" s="135"/>
    </row>
    <row r="1452" spans="70:75" x14ac:dyDescent="0.2">
      <c r="BR1452" s="136"/>
      <c r="BS1452" s="149"/>
      <c r="BT1452" s="136"/>
      <c r="BW1452" s="135"/>
    </row>
    <row r="1453" spans="70:75" x14ac:dyDescent="0.2">
      <c r="BR1453" s="136"/>
      <c r="BS1453" s="149"/>
      <c r="BT1453" s="136"/>
      <c r="BW1453" s="135"/>
    </row>
    <row r="1454" spans="70:75" x14ac:dyDescent="0.2">
      <c r="BR1454" s="136"/>
      <c r="BS1454" s="149"/>
      <c r="BT1454" s="136"/>
      <c r="BW1454" s="135"/>
    </row>
    <row r="1455" spans="70:75" x14ac:dyDescent="0.2">
      <c r="BR1455" s="136"/>
      <c r="BS1455" s="149"/>
      <c r="BT1455" s="136"/>
      <c r="BW1455" s="135"/>
    </row>
    <row r="1456" spans="70:75" x14ac:dyDescent="0.2">
      <c r="BR1456" s="136"/>
      <c r="BS1456" s="149"/>
      <c r="BT1456" s="136"/>
      <c r="BW1456" s="135"/>
    </row>
    <row r="1457" spans="70:75" x14ac:dyDescent="0.2">
      <c r="BR1457" s="136"/>
      <c r="BS1457" s="149"/>
      <c r="BT1457" s="136"/>
      <c r="BW1457" s="135"/>
    </row>
    <row r="1458" spans="70:75" x14ac:dyDescent="0.2">
      <c r="BR1458" s="136"/>
      <c r="BS1458" s="149"/>
      <c r="BT1458" s="136"/>
      <c r="BW1458" s="135"/>
    </row>
    <row r="1459" spans="70:75" x14ac:dyDescent="0.2">
      <c r="BR1459" s="136"/>
      <c r="BS1459" s="149"/>
      <c r="BT1459" s="136"/>
      <c r="BW1459" s="135"/>
    </row>
    <row r="1460" spans="70:75" x14ac:dyDescent="0.2">
      <c r="BR1460" s="136"/>
      <c r="BS1460" s="149"/>
      <c r="BT1460" s="136"/>
      <c r="BW1460" s="135"/>
    </row>
    <row r="1461" spans="70:75" x14ac:dyDescent="0.2">
      <c r="BR1461" s="136"/>
      <c r="BS1461" s="149"/>
      <c r="BT1461" s="136"/>
      <c r="BW1461" s="135"/>
    </row>
    <row r="1462" spans="70:75" x14ac:dyDescent="0.2">
      <c r="BR1462" s="136"/>
      <c r="BS1462" s="149"/>
      <c r="BT1462" s="136"/>
      <c r="BW1462" s="135"/>
    </row>
    <row r="1463" spans="70:75" x14ac:dyDescent="0.2">
      <c r="BR1463" s="136"/>
      <c r="BS1463" s="149"/>
      <c r="BT1463" s="136"/>
      <c r="BW1463" s="135"/>
    </row>
    <row r="1464" spans="70:75" x14ac:dyDescent="0.2">
      <c r="BR1464" s="136"/>
      <c r="BS1464" s="149"/>
      <c r="BT1464" s="136"/>
      <c r="BW1464" s="135"/>
    </row>
    <row r="1465" spans="70:75" x14ac:dyDescent="0.2">
      <c r="BR1465" s="136"/>
      <c r="BS1465" s="149"/>
      <c r="BT1465" s="136"/>
      <c r="BW1465" s="135"/>
    </row>
    <row r="1466" spans="70:75" x14ac:dyDescent="0.2">
      <c r="BR1466" s="136"/>
      <c r="BS1466" s="149"/>
      <c r="BT1466" s="136"/>
      <c r="BW1466" s="135"/>
    </row>
    <row r="1467" spans="70:75" x14ac:dyDescent="0.2">
      <c r="BR1467" s="136"/>
      <c r="BS1467" s="149"/>
      <c r="BT1467" s="136"/>
      <c r="BW1467" s="135"/>
    </row>
    <row r="1468" spans="70:75" x14ac:dyDescent="0.2">
      <c r="BR1468" s="136"/>
      <c r="BS1468" s="149"/>
      <c r="BT1468" s="136"/>
      <c r="BW1468" s="135"/>
    </row>
    <row r="1469" spans="70:75" x14ac:dyDescent="0.2">
      <c r="BR1469" s="136"/>
      <c r="BS1469" s="149"/>
      <c r="BT1469" s="136"/>
      <c r="BW1469" s="135"/>
    </row>
    <row r="1470" spans="70:75" x14ac:dyDescent="0.2">
      <c r="BR1470" s="136"/>
      <c r="BS1470" s="149"/>
      <c r="BT1470" s="136"/>
      <c r="BW1470" s="135"/>
    </row>
    <row r="1471" spans="70:75" x14ac:dyDescent="0.2">
      <c r="BR1471" s="136"/>
      <c r="BS1471" s="149"/>
      <c r="BT1471" s="136"/>
      <c r="BW1471" s="135"/>
    </row>
    <row r="1472" spans="70:75" x14ac:dyDescent="0.2">
      <c r="BR1472" s="136"/>
      <c r="BS1472" s="149"/>
      <c r="BT1472" s="136"/>
      <c r="BW1472" s="135"/>
    </row>
    <row r="1473" spans="70:75" x14ac:dyDescent="0.2">
      <c r="BR1473" s="136"/>
      <c r="BS1473" s="149"/>
      <c r="BT1473" s="136"/>
      <c r="BW1473" s="135"/>
    </row>
    <row r="1474" spans="70:75" x14ac:dyDescent="0.2">
      <c r="BR1474" s="136"/>
      <c r="BS1474" s="149"/>
      <c r="BT1474" s="136"/>
      <c r="BW1474" s="135"/>
    </row>
    <row r="1475" spans="70:75" x14ac:dyDescent="0.2">
      <c r="BR1475" s="136"/>
      <c r="BS1475" s="149"/>
      <c r="BT1475" s="136"/>
      <c r="BW1475" s="135"/>
    </row>
    <row r="1476" spans="70:75" x14ac:dyDescent="0.2">
      <c r="BR1476" s="136"/>
      <c r="BS1476" s="149"/>
      <c r="BT1476" s="136"/>
      <c r="BW1476" s="135"/>
    </row>
    <row r="1477" spans="70:75" x14ac:dyDescent="0.2">
      <c r="BR1477" s="136"/>
      <c r="BS1477" s="149"/>
      <c r="BT1477" s="136"/>
      <c r="BW1477" s="135"/>
    </row>
    <row r="1478" spans="70:75" x14ac:dyDescent="0.2">
      <c r="BR1478" s="136"/>
      <c r="BS1478" s="149"/>
      <c r="BT1478" s="136"/>
      <c r="BW1478" s="135"/>
    </row>
    <row r="1479" spans="70:75" x14ac:dyDescent="0.2">
      <c r="BR1479" s="136"/>
      <c r="BS1479" s="149"/>
      <c r="BT1479" s="136"/>
      <c r="BW1479" s="135"/>
    </row>
    <row r="1480" spans="70:75" x14ac:dyDescent="0.2">
      <c r="BR1480" s="136"/>
      <c r="BS1480" s="149"/>
      <c r="BT1480" s="136"/>
      <c r="BW1480" s="135"/>
    </row>
    <row r="1481" spans="70:75" x14ac:dyDescent="0.2">
      <c r="BR1481" s="136"/>
      <c r="BS1481" s="149"/>
      <c r="BT1481" s="136"/>
      <c r="BW1481" s="135"/>
    </row>
    <row r="1482" spans="70:75" x14ac:dyDescent="0.2">
      <c r="BR1482" s="136"/>
      <c r="BS1482" s="149"/>
      <c r="BT1482" s="136"/>
      <c r="BW1482" s="135"/>
    </row>
    <row r="1483" spans="70:75" x14ac:dyDescent="0.2">
      <c r="BR1483" s="136"/>
      <c r="BS1483" s="149"/>
      <c r="BT1483" s="136"/>
      <c r="BW1483" s="135"/>
    </row>
    <row r="1484" spans="70:75" x14ac:dyDescent="0.2">
      <c r="BR1484" s="136"/>
      <c r="BS1484" s="149"/>
      <c r="BT1484" s="136"/>
      <c r="BW1484" s="135"/>
    </row>
    <row r="1485" spans="70:75" x14ac:dyDescent="0.2">
      <c r="BR1485" s="136"/>
      <c r="BS1485" s="149"/>
      <c r="BT1485" s="136"/>
      <c r="BW1485" s="135"/>
    </row>
    <row r="1486" spans="70:75" x14ac:dyDescent="0.2">
      <c r="BR1486" s="136"/>
      <c r="BS1486" s="149"/>
      <c r="BT1486" s="136"/>
      <c r="BW1486" s="135"/>
    </row>
    <row r="1487" spans="70:75" x14ac:dyDescent="0.2">
      <c r="BR1487" s="136"/>
      <c r="BS1487" s="149"/>
      <c r="BT1487" s="136"/>
      <c r="BW1487" s="135"/>
    </row>
    <row r="1488" spans="70:75" x14ac:dyDescent="0.2">
      <c r="BR1488" s="136"/>
      <c r="BS1488" s="149"/>
      <c r="BT1488" s="136"/>
      <c r="BW1488" s="135"/>
    </row>
    <row r="1489" spans="70:75" x14ac:dyDescent="0.2">
      <c r="BR1489" s="136"/>
      <c r="BS1489" s="149"/>
      <c r="BT1489" s="136"/>
      <c r="BW1489" s="135"/>
    </row>
    <row r="1490" spans="70:75" x14ac:dyDescent="0.2">
      <c r="BR1490" s="136"/>
      <c r="BS1490" s="149"/>
      <c r="BT1490" s="136"/>
      <c r="BW1490" s="135"/>
    </row>
    <row r="1491" spans="70:75" x14ac:dyDescent="0.2">
      <c r="BR1491" s="136"/>
      <c r="BS1491" s="149"/>
      <c r="BT1491" s="136"/>
      <c r="BW1491" s="135"/>
    </row>
    <row r="1492" spans="70:75" x14ac:dyDescent="0.2">
      <c r="BR1492" s="136"/>
      <c r="BS1492" s="149"/>
      <c r="BT1492" s="136"/>
      <c r="BW1492" s="135"/>
    </row>
    <row r="1493" spans="70:75" x14ac:dyDescent="0.2">
      <c r="BR1493" s="136"/>
      <c r="BS1493" s="149"/>
      <c r="BT1493" s="136"/>
      <c r="BW1493" s="135"/>
    </row>
    <row r="1494" spans="70:75" x14ac:dyDescent="0.2">
      <c r="BR1494" s="136"/>
      <c r="BS1494" s="149"/>
      <c r="BT1494" s="136"/>
      <c r="BW1494" s="135"/>
    </row>
    <row r="1495" spans="70:75" x14ac:dyDescent="0.2">
      <c r="BR1495" s="136"/>
      <c r="BS1495" s="149"/>
      <c r="BT1495" s="136"/>
      <c r="BW1495" s="135"/>
    </row>
    <row r="1496" spans="70:75" x14ac:dyDescent="0.2">
      <c r="BR1496" s="136"/>
      <c r="BS1496" s="149"/>
      <c r="BT1496" s="136"/>
      <c r="BW1496" s="135"/>
    </row>
    <row r="1497" spans="70:75" x14ac:dyDescent="0.2">
      <c r="BR1497" s="136"/>
      <c r="BS1497" s="149"/>
      <c r="BT1497" s="136"/>
      <c r="BW1497" s="135"/>
    </row>
    <row r="1498" spans="70:75" x14ac:dyDescent="0.2">
      <c r="BR1498" s="136"/>
      <c r="BS1498" s="149"/>
      <c r="BT1498" s="136"/>
      <c r="BW1498" s="135"/>
    </row>
    <row r="1499" spans="70:75" x14ac:dyDescent="0.2">
      <c r="BR1499" s="136"/>
      <c r="BS1499" s="149"/>
      <c r="BT1499" s="136"/>
      <c r="BW1499" s="135"/>
    </row>
    <row r="1500" spans="70:75" x14ac:dyDescent="0.2">
      <c r="BR1500" s="136"/>
      <c r="BS1500" s="149"/>
      <c r="BT1500" s="136"/>
      <c r="BW1500" s="135"/>
    </row>
    <row r="1501" spans="70:75" x14ac:dyDescent="0.2">
      <c r="BR1501" s="136"/>
      <c r="BS1501" s="149"/>
      <c r="BT1501" s="136"/>
      <c r="BW1501" s="135"/>
    </row>
    <row r="1502" spans="70:75" x14ac:dyDescent="0.2">
      <c r="BR1502" s="136"/>
      <c r="BS1502" s="149"/>
      <c r="BT1502" s="136"/>
      <c r="BW1502" s="135"/>
    </row>
    <row r="1503" spans="70:75" x14ac:dyDescent="0.2">
      <c r="BR1503" s="136"/>
      <c r="BS1503" s="149"/>
      <c r="BT1503" s="136"/>
      <c r="BW1503" s="135"/>
    </row>
    <row r="1504" spans="70:75" x14ac:dyDescent="0.2">
      <c r="BR1504" s="136"/>
      <c r="BS1504" s="149"/>
      <c r="BT1504" s="136"/>
      <c r="BW1504" s="135"/>
    </row>
    <row r="1505" spans="70:75" x14ac:dyDescent="0.2">
      <c r="BR1505" s="136"/>
      <c r="BS1505" s="149"/>
      <c r="BT1505" s="136"/>
      <c r="BW1505" s="135"/>
    </row>
    <row r="1506" spans="70:75" x14ac:dyDescent="0.2">
      <c r="BR1506" s="136"/>
      <c r="BS1506" s="149"/>
      <c r="BT1506" s="136"/>
      <c r="BW1506" s="135"/>
    </row>
    <row r="1507" spans="70:75" x14ac:dyDescent="0.2">
      <c r="BR1507" s="136"/>
      <c r="BS1507" s="149"/>
      <c r="BT1507" s="136"/>
      <c r="BW1507" s="135"/>
    </row>
    <row r="1508" spans="70:75" x14ac:dyDescent="0.2">
      <c r="BR1508" s="136"/>
      <c r="BS1508" s="149"/>
      <c r="BT1508" s="136"/>
      <c r="BW1508" s="135"/>
    </row>
    <row r="1509" spans="70:75" x14ac:dyDescent="0.2">
      <c r="BR1509" s="136"/>
      <c r="BS1509" s="149"/>
      <c r="BT1509" s="136"/>
      <c r="BW1509" s="135"/>
    </row>
    <row r="1510" spans="70:75" x14ac:dyDescent="0.2">
      <c r="BR1510" s="136"/>
      <c r="BS1510" s="149"/>
      <c r="BT1510" s="136"/>
      <c r="BW1510" s="135"/>
    </row>
    <row r="1511" spans="70:75" x14ac:dyDescent="0.2">
      <c r="BR1511" s="136"/>
      <c r="BS1511" s="149"/>
      <c r="BT1511" s="136"/>
      <c r="BW1511" s="135"/>
    </row>
    <row r="1512" spans="70:75" x14ac:dyDescent="0.2">
      <c r="BR1512" s="136"/>
      <c r="BS1512" s="149"/>
      <c r="BT1512" s="136"/>
      <c r="BW1512" s="135"/>
    </row>
    <row r="1513" spans="70:75" x14ac:dyDescent="0.2">
      <c r="BR1513" s="136"/>
      <c r="BS1513" s="149"/>
      <c r="BT1513" s="136"/>
      <c r="BW1513" s="135"/>
    </row>
    <row r="1514" spans="70:75" x14ac:dyDescent="0.2">
      <c r="BR1514" s="136"/>
      <c r="BS1514" s="149"/>
      <c r="BT1514" s="136"/>
      <c r="BW1514" s="135"/>
    </row>
    <row r="1515" spans="70:75" x14ac:dyDescent="0.2">
      <c r="BR1515" s="136"/>
      <c r="BS1515" s="149"/>
      <c r="BT1515" s="136"/>
      <c r="BW1515" s="135"/>
    </row>
    <row r="1516" spans="70:75" x14ac:dyDescent="0.2">
      <c r="BR1516" s="136"/>
      <c r="BS1516" s="149"/>
      <c r="BT1516" s="136"/>
      <c r="BW1516" s="135"/>
    </row>
    <row r="1517" spans="70:75" x14ac:dyDescent="0.2">
      <c r="BR1517" s="136"/>
      <c r="BS1517" s="149"/>
      <c r="BT1517" s="136"/>
      <c r="BW1517" s="135"/>
    </row>
    <row r="1518" spans="70:75" x14ac:dyDescent="0.2">
      <c r="BR1518" s="136"/>
      <c r="BS1518" s="149"/>
      <c r="BT1518" s="136"/>
      <c r="BW1518" s="135"/>
    </row>
    <row r="1519" spans="70:75" x14ac:dyDescent="0.2">
      <c r="BR1519" s="136"/>
      <c r="BS1519" s="149"/>
      <c r="BT1519" s="136"/>
      <c r="BW1519" s="135"/>
    </row>
    <row r="1520" spans="70:75" x14ac:dyDescent="0.2">
      <c r="BR1520" s="136"/>
      <c r="BS1520" s="149"/>
      <c r="BT1520" s="136"/>
      <c r="BW1520" s="135"/>
    </row>
    <row r="1521" spans="70:75" x14ac:dyDescent="0.2">
      <c r="BR1521" s="136"/>
      <c r="BS1521" s="149"/>
      <c r="BT1521" s="136"/>
      <c r="BW1521" s="135"/>
    </row>
    <row r="1522" spans="70:75" x14ac:dyDescent="0.2">
      <c r="BR1522" s="136"/>
      <c r="BS1522" s="149"/>
      <c r="BT1522" s="136"/>
      <c r="BW1522" s="135"/>
    </row>
    <row r="1523" spans="70:75" x14ac:dyDescent="0.2">
      <c r="BR1523" s="136"/>
      <c r="BS1523" s="149"/>
      <c r="BT1523" s="136"/>
      <c r="BW1523" s="135"/>
    </row>
    <row r="1524" spans="70:75" x14ac:dyDescent="0.2">
      <c r="BR1524" s="136"/>
      <c r="BS1524" s="149"/>
      <c r="BT1524" s="136"/>
      <c r="BW1524" s="135"/>
    </row>
    <row r="1525" spans="70:75" x14ac:dyDescent="0.2">
      <c r="BR1525" s="136"/>
      <c r="BS1525" s="149"/>
      <c r="BT1525" s="136"/>
      <c r="BW1525" s="135"/>
    </row>
    <row r="1526" spans="70:75" x14ac:dyDescent="0.2">
      <c r="BR1526" s="136"/>
      <c r="BS1526" s="149"/>
      <c r="BT1526" s="136"/>
      <c r="BW1526" s="135"/>
    </row>
    <row r="1527" spans="70:75" x14ac:dyDescent="0.2">
      <c r="BR1527" s="136"/>
      <c r="BS1527" s="149"/>
      <c r="BT1527" s="136"/>
      <c r="BW1527" s="135"/>
    </row>
    <row r="1528" spans="70:75" x14ac:dyDescent="0.2">
      <c r="BR1528" s="136"/>
      <c r="BS1528" s="149"/>
      <c r="BT1528" s="136"/>
      <c r="BW1528" s="135"/>
    </row>
    <row r="1529" spans="70:75" x14ac:dyDescent="0.2">
      <c r="BR1529" s="136"/>
      <c r="BS1529" s="149"/>
      <c r="BT1529" s="136"/>
      <c r="BW1529" s="135"/>
    </row>
    <row r="1530" spans="70:75" x14ac:dyDescent="0.2">
      <c r="BR1530" s="136"/>
      <c r="BS1530" s="149"/>
      <c r="BT1530" s="136"/>
      <c r="BW1530" s="135"/>
    </row>
    <row r="1531" spans="70:75" x14ac:dyDescent="0.2">
      <c r="BR1531" s="136"/>
      <c r="BS1531" s="149"/>
      <c r="BT1531" s="136"/>
      <c r="BW1531" s="135"/>
    </row>
    <row r="1532" spans="70:75" x14ac:dyDescent="0.2">
      <c r="BR1532" s="136"/>
      <c r="BS1532" s="149"/>
      <c r="BT1532" s="136"/>
      <c r="BW1532" s="135"/>
    </row>
    <row r="1533" spans="70:75" x14ac:dyDescent="0.2">
      <c r="BR1533" s="136"/>
      <c r="BS1533" s="149"/>
      <c r="BT1533" s="136"/>
      <c r="BW1533" s="135"/>
    </row>
    <row r="1534" spans="70:75" x14ac:dyDescent="0.2">
      <c r="BR1534" s="136"/>
      <c r="BS1534" s="149"/>
      <c r="BT1534" s="136"/>
      <c r="BW1534" s="135"/>
    </row>
    <row r="1535" spans="70:75" x14ac:dyDescent="0.2">
      <c r="BR1535" s="136"/>
      <c r="BS1535" s="149"/>
      <c r="BT1535" s="136"/>
      <c r="BW1535" s="135"/>
    </row>
    <row r="1536" spans="70:75" x14ac:dyDescent="0.2">
      <c r="BR1536" s="136"/>
      <c r="BS1536" s="149"/>
      <c r="BT1536" s="136"/>
      <c r="BW1536" s="135"/>
    </row>
    <row r="1537" spans="70:75" x14ac:dyDescent="0.2">
      <c r="BR1537" s="136"/>
      <c r="BS1537" s="149"/>
      <c r="BT1537" s="136"/>
      <c r="BW1537" s="135"/>
    </row>
    <row r="1538" spans="70:75" x14ac:dyDescent="0.2">
      <c r="BR1538" s="136"/>
      <c r="BS1538" s="149"/>
      <c r="BT1538" s="136"/>
      <c r="BW1538" s="135"/>
    </row>
    <row r="1539" spans="70:75" x14ac:dyDescent="0.2">
      <c r="BR1539" s="136"/>
      <c r="BS1539" s="149"/>
      <c r="BT1539" s="136"/>
      <c r="BW1539" s="135"/>
    </row>
    <row r="1540" spans="70:75" x14ac:dyDescent="0.2">
      <c r="BR1540" s="136"/>
      <c r="BS1540" s="149"/>
      <c r="BT1540" s="136"/>
      <c r="BW1540" s="135"/>
    </row>
    <row r="1541" spans="70:75" x14ac:dyDescent="0.2">
      <c r="BR1541" s="136"/>
      <c r="BS1541" s="149"/>
      <c r="BT1541" s="136"/>
      <c r="BW1541" s="135"/>
    </row>
    <row r="1542" spans="70:75" x14ac:dyDescent="0.2">
      <c r="BR1542" s="136"/>
      <c r="BS1542" s="149"/>
      <c r="BT1542" s="136"/>
      <c r="BW1542" s="135"/>
    </row>
    <row r="1543" spans="70:75" x14ac:dyDescent="0.2">
      <c r="BR1543" s="136"/>
      <c r="BS1543" s="149"/>
      <c r="BT1543" s="136"/>
      <c r="BW1543" s="135"/>
    </row>
    <row r="1544" spans="70:75" x14ac:dyDescent="0.2">
      <c r="BR1544" s="136"/>
      <c r="BS1544" s="149"/>
      <c r="BT1544" s="136"/>
      <c r="BW1544" s="135"/>
    </row>
    <row r="1545" spans="70:75" x14ac:dyDescent="0.2">
      <c r="BR1545" s="136"/>
      <c r="BS1545" s="149"/>
      <c r="BT1545" s="136"/>
      <c r="BW1545" s="135"/>
    </row>
    <row r="1546" spans="70:75" x14ac:dyDescent="0.2">
      <c r="BR1546" s="136"/>
      <c r="BS1546" s="149"/>
      <c r="BT1546" s="136"/>
      <c r="BW1546" s="135"/>
    </row>
    <row r="1547" spans="70:75" x14ac:dyDescent="0.2">
      <c r="BR1547" s="136"/>
      <c r="BS1547" s="149"/>
      <c r="BT1547" s="136"/>
      <c r="BW1547" s="135"/>
    </row>
    <row r="1548" spans="70:75" x14ac:dyDescent="0.2">
      <c r="BR1548" s="136"/>
      <c r="BS1548" s="149"/>
      <c r="BT1548" s="136"/>
      <c r="BW1548" s="135"/>
    </row>
    <row r="1549" spans="70:75" x14ac:dyDescent="0.2">
      <c r="BR1549" s="136"/>
      <c r="BS1549" s="149"/>
      <c r="BT1549" s="136"/>
      <c r="BW1549" s="135"/>
    </row>
    <row r="1550" spans="70:75" x14ac:dyDescent="0.2">
      <c r="BR1550" s="136"/>
      <c r="BS1550" s="149"/>
      <c r="BT1550" s="136"/>
      <c r="BW1550" s="135"/>
    </row>
    <row r="1551" spans="70:75" x14ac:dyDescent="0.2">
      <c r="BR1551" s="136"/>
      <c r="BS1551" s="149"/>
      <c r="BT1551" s="136"/>
      <c r="BW1551" s="135"/>
    </row>
    <row r="1552" spans="70:75" x14ac:dyDescent="0.2">
      <c r="BR1552" s="136"/>
      <c r="BS1552" s="149"/>
      <c r="BT1552" s="136"/>
      <c r="BW1552" s="135"/>
    </row>
    <row r="1553" spans="70:75" x14ac:dyDescent="0.2">
      <c r="BR1553" s="136"/>
      <c r="BS1553" s="149"/>
      <c r="BT1553" s="136"/>
      <c r="BW1553" s="135"/>
    </row>
    <row r="1554" spans="70:75" x14ac:dyDescent="0.2">
      <c r="BR1554" s="136"/>
      <c r="BS1554" s="149"/>
      <c r="BT1554" s="136"/>
      <c r="BW1554" s="135"/>
    </row>
    <row r="1555" spans="70:75" x14ac:dyDescent="0.2">
      <c r="BR1555" s="136"/>
      <c r="BS1555" s="149"/>
      <c r="BT1555" s="136"/>
      <c r="BW1555" s="135"/>
    </row>
    <row r="1556" spans="70:75" x14ac:dyDescent="0.2">
      <c r="BR1556" s="136"/>
      <c r="BS1556" s="149"/>
      <c r="BT1556" s="136"/>
      <c r="BW1556" s="135"/>
    </row>
    <row r="1557" spans="70:75" x14ac:dyDescent="0.2">
      <c r="BR1557" s="136"/>
      <c r="BS1557" s="149"/>
      <c r="BT1557" s="136"/>
      <c r="BW1557" s="135"/>
    </row>
    <row r="1558" spans="70:75" x14ac:dyDescent="0.2">
      <c r="BR1558" s="136"/>
      <c r="BS1558" s="149"/>
      <c r="BT1558" s="136"/>
      <c r="BW1558" s="135"/>
    </row>
    <row r="1559" spans="70:75" x14ac:dyDescent="0.2">
      <c r="BR1559" s="136"/>
      <c r="BS1559" s="149"/>
      <c r="BT1559" s="136"/>
      <c r="BW1559" s="135"/>
    </row>
    <row r="1560" spans="70:75" x14ac:dyDescent="0.2">
      <c r="BR1560" s="136"/>
      <c r="BS1560" s="149"/>
      <c r="BT1560" s="136"/>
      <c r="BW1560" s="135"/>
    </row>
    <row r="1561" spans="70:75" x14ac:dyDescent="0.2">
      <c r="BR1561" s="136"/>
      <c r="BS1561" s="149"/>
      <c r="BT1561" s="136"/>
      <c r="BW1561" s="135"/>
    </row>
    <row r="1562" spans="70:75" x14ac:dyDescent="0.2">
      <c r="BR1562" s="136"/>
      <c r="BS1562" s="149"/>
      <c r="BT1562" s="136"/>
      <c r="BW1562" s="135"/>
    </row>
    <row r="1563" spans="70:75" x14ac:dyDescent="0.2">
      <c r="BR1563" s="136"/>
      <c r="BS1563" s="149"/>
      <c r="BT1563" s="136"/>
      <c r="BW1563" s="135"/>
    </row>
    <row r="1564" spans="70:75" x14ac:dyDescent="0.2">
      <c r="BR1564" s="136"/>
      <c r="BS1564" s="149"/>
      <c r="BT1564" s="136"/>
      <c r="BW1564" s="135"/>
    </row>
    <row r="1565" spans="70:75" x14ac:dyDescent="0.2">
      <c r="BR1565" s="136"/>
      <c r="BS1565" s="149"/>
      <c r="BT1565" s="136"/>
      <c r="BW1565" s="135"/>
    </row>
    <row r="1566" spans="70:75" x14ac:dyDescent="0.2">
      <c r="BR1566" s="136"/>
      <c r="BS1566" s="149"/>
      <c r="BT1566" s="136"/>
      <c r="BW1566" s="135"/>
    </row>
    <row r="1567" spans="70:75" x14ac:dyDescent="0.2">
      <c r="BR1567" s="136"/>
      <c r="BS1567" s="149"/>
      <c r="BT1567" s="136"/>
      <c r="BW1567" s="135"/>
    </row>
    <row r="1568" spans="70:75" x14ac:dyDescent="0.2">
      <c r="BS1568" s="149"/>
      <c r="BT1568" s="136"/>
      <c r="BW1568" s="135"/>
    </row>
    <row r="1569" spans="71:75" x14ac:dyDescent="0.2">
      <c r="BS1569" s="149"/>
      <c r="BT1569" s="136"/>
      <c r="BW1569" s="135"/>
    </row>
    <row r="1570" spans="71:75" x14ac:dyDescent="0.2">
      <c r="BS1570" s="149"/>
      <c r="BT1570" s="136"/>
      <c r="BW1570" s="135"/>
    </row>
    <row r="1571" spans="71:75" x14ac:dyDescent="0.2">
      <c r="BS1571" s="149"/>
      <c r="BT1571" s="136"/>
      <c r="BW1571" s="135"/>
    </row>
    <row r="1572" spans="71:75" x14ac:dyDescent="0.2">
      <c r="BS1572" s="149"/>
      <c r="BT1572" s="136"/>
      <c r="BW1572" s="135"/>
    </row>
    <row r="1573" spans="71:75" x14ac:dyDescent="0.2">
      <c r="BS1573" s="149"/>
      <c r="BT1573" s="136"/>
      <c r="BW1573" s="135"/>
    </row>
    <row r="1574" spans="71:75" x14ac:dyDescent="0.2">
      <c r="BS1574" s="149"/>
      <c r="BT1574" s="136"/>
      <c r="BW1574" s="135"/>
    </row>
    <row r="1575" spans="71:75" x14ac:dyDescent="0.2">
      <c r="BS1575" s="149"/>
      <c r="BT1575" s="136"/>
      <c r="BW1575" s="135"/>
    </row>
    <row r="1576" spans="71:75" x14ac:dyDescent="0.2">
      <c r="BS1576" s="149"/>
      <c r="BT1576" s="136"/>
      <c r="BW1576" s="135"/>
    </row>
    <row r="1577" spans="71:75" x14ac:dyDescent="0.2">
      <c r="BS1577" s="149"/>
      <c r="BT1577" s="136"/>
      <c r="BW1577" s="135"/>
    </row>
    <row r="1578" spans="71:75" x14ac:dyDescent="0.2">
      <c r="BS1578" s="149"/>
      <c r="BT1578" s="136"/>
      <c r="BW1578" s="135"/>
    </row>
    <row r="1579" spans="71:75" x14ac:dyDescent="0.2">
      <c r="BS1579" s="149"/>
      <c r="BT1579" s="136"/>
      <c r="BW1579" s="135"/>
    </row>
    <row r="1580" spans="71:75" x14ac:dyDescent="0.2">
      <c r="BS1580" s="149"/>
      <c r="BT1580" s="136"/>
      <c r="BW1580" s="135"/>
    </row>
    <row r="1581" spans="71:75" x14ac:dyDescent="0.2">
      <c r="BS1581" s="149"/>
      <c r="BT1581" s="136"/>
      <c r="BW1581" s="135"/>
    </row>
    <row r="1582" spans="71:75" x14ac:dyDescent="0.2">
      <c r="BS1582" s="149"/>
      <c r="BT1582" s="136"/>
      <c r="BW1582" s="135"/>
    </row>
    <row r="1583" spans="71:75" x14ac:dyDescent="0.2">
      <c r="BS1583" s="149"/>
      <c r="BT1583" s="136"/>
      <c r="BW1583" s="135"/>
    </row>
    <row r="1584" spans="71:75" x14ac:dyDescent="0.2">
      <c r="BS1584" s="149"/>
      <c r="BT1584" s="136"/>
      <c r="BW1584" s="135"/>
    </row>
    <row r="1585" spans="71:76" x14ac:dyDescent="0.2">
      <c r="BS1585" s="149"/>
      <c r="BT1585" s="136"/>
      <c r="BW1585" s="135"/>
    </row>
    <row r="1586" spans="71:76" x14ac:dyDescent="0.2">
      <c r="BS1586" s="149"/>
      <c r="BT1586" s="136"/>
      <c r="BW1586" s="135"/>
    </row>
    <row r="1587" spans="71:76" x14ac:dyDescent="0.2">
      <c r="BS1587" s="149"/>
      <c r="BT1587" s="136"/>
      <c r="BW1587" s="135"/>
      <c r="BX1587" s="365"/>
    </row>
    <row r="1588" spans="71:76" x14ac:dyDescent="0.2">
      <c r="BS1588" s="149"/>
      <c r="BT1588" s="136"/>
      <c r="BW1588" s="135"/>
      <c r="BX1588" s="365"/>
    </row>
    <row r="1589" spans="71:76" x14ac:dyDescent="0.2">
      <c r="BS1589" s="149"/>
      <c r="BT1589" s="136"/>
      <c r="BW1589" s="135"/>
    </row>
    <row r="1590" spans="71:76" x14ac:dyDescent="0.2">
      <c r="BS1590" s="149"/>
      <c r="BT1590" s="136"/>
      <c r="BW1590" s="135"/>
    </row>
    <row r="1591" spans="71:76" x14ac:dyDescent="0.2">
      <c r="BS1591" s="149"/>
      <c r="BT1591" s="136"/>
      <c r="BW1591" s="135"/>
    </row>
    <row r="1592" spans="71:76" x14ac:dyDescent="0.2">
      <c r="BS1592" s="149"/>
      <c r="BT1592" s="136"/>
      <c r="BW1592" s="135"/>
    </row>
    <row r="1593" spans="71:76" x14ac:dyDescent="0.2">
      <c r="BS1593" s="149"/>
      <c r="BT1593" s="136"/>
      <c r="BW1593" s="135"/>
    </row>
    <row r="1594" spans="71:76" x14ac:dyDescent="0.2">
      <c r="BS1594" s="149"/>
      <c r="BT1594" s="136"/>
      <c r="BW1594" s="135"/>
    </row>
    <row r="1595" spans="71:76" x14ac:dyDescent="0.2">
      <c r="BS1595" s="149"/>
      <c r="BT1595" s="136"/>
      <c r="BW1595" s="135"/>
    </row>
    <row r="1596" spans="71:76" x14ac:dyDescent="0.2">
      <c r="BS1596" s="149"/>
      <c r="BT1596" s="136"/>
      <c r="BW1596" s="135"/>
    </row>
    <row r="1597" spans="71:76" x14ac:dyDescent="0.2">
      <c r="BS1597" s="149"/>
      <c r="BT1597" s="136"/>
      <c r="BW1597" s="135"/>
    </row>
    <row r="1598" spans="71:76" x14ac:dyDescent="0.2">
      <c r="BS1598" s="149"/>
      <c r="BT1598" s="136"/>
      <c r="BW1598" s="135"/>
    </row>
    <row r="1599" spans="71:76" x14ac:dyDescent="0.2">
      <c r="BS1599" s="149"/>
      <c r="BT1599" s="136"/>
      <c r="BW1599" s="135"/>
    </row>
    <row r="1600" spans="71:76" x14ac:dyDescent="0.2">
      <c r="BS1600" s="149"/>
      <c r="BT1600" s="136"/>
      <c r="BW1600" s="135"/>
    </row>
    <row r="1601" spans="71:75" x14ac:dyDescent="0.2">
      <c r="BS1601" s="149"/>
      <c r="BT1601" s="136"/>
      <c r="BW1601" s="135"/>
    </row>
    <row r="1602" spans="71:75" x14ac:dyDescent="0.2">
      <c r="BS1602" s="149"/>
      <c r="BT1602" s="136"/>
      <c r="BW1602" s="135"/>
    </row>
    <row r="1603" spans="71:75" x14ac:dyDescent="0.2">
      <c r="BS1603" s="149"/>
      <c r="BT1603" s="136"/>
      <c r="BW1603" s="135"/>
    </row>
    <row r="1604" spans="71:75" x14ac:dyDescent="0.2">
      <c r="BS1604" s="149"/>
      <c r="BT1604" s="136"/>
      <c r="BW1604" s="135"/>
    </row>
    <row r="1605" spans="71:75" x14ac:dyDescent="0.2">
      <c r="BS1605" s="149"/>
      <c r="BT1605" s="136"/>
      <c r="BW1605" s="135"/>
    </row>
    <row r="1606" spans="71:75" x14ac:dyDescent="0.2">
      <c r="BS1606" s="149"/>
      <c r="BT1606" s="136"/>
      <c r="BW1606" s="135"/>
    </row>
    <row r="1607" spans="71:75" x14ac:dyDescent="0.2">
      <c r="BS1607" s="149"/>
      <c r="BT1607" s="136"/>
      <c r="BW1607" s="135"/>
    </row>
    <row r="1608" spans="71:75" x14ac:dyDescent="0.2">
      <c r="BS1608" s="149"/>
      <c r="BT1608" s="136"/>
      <c r="BW1608" s="135"/>
    </row>
    <row r="1609" spans="71:75" x14ac:dyDescent="0.2">
      <c r="BS1609" s="149"/>
      <c r="BT1609" s="136"/>
      <c r="BW1609" s="135"/>
    </row>
    <row r="1610" spans="71:75" x14ac:dyDescent="0.2">
      <c r="BS1610" s="149"/>
      <c r="BT1610" s="136"/>
      <c r="BW1610" s="135"/>
    </row>
    <row r="1611" spans="71:75" x14ac:dyDescent="0.2">
      <c r="BS1611" s="149"/>
      <c r="BT1611" s="136"/>
      <c r="BW1611" s="135"/>
    </row>
    <row r="1612" spans="71:75" x14ac:dyDescent="0.2">
      <c r="BS1612" s="149"/>
      <c r="BT1612" s="136"/>
      <c r="BW1612" s="135"/>
    </row>
    <row r="1613" spans="71:75" x14ac:dyDescent="0.2">
      <c r="BS1613" s="149"/>
      <c r="BT1613" s="136"/>
      <c r="BW1613" s="135"/>
    </row>
    <row r="1614" spans="71:75" x14ac:dyDescent="0.2">
      <c r="BS1614" s="149"/>
      <c r="BT1614" s="136"/>
      <c r="BW1614" s="135"/>
    </row>
    <row r="1615" spans="71:75" x14ac:dyDescent="0.2">
      <c r="BS1615" s="149"/>
      <c r="BT1615" s="136"/>
      <c r="BW1615" s="135"/>
    </row>
    <row r="1616" spans="71:75" x14ac:dyDescent="0.2">
      <c r="BS1616" s="149"/>
      <c r="BT1616" s="136"/>
      <c r="BW1616" s="135"/>
    </row>
    <row r="1617" spans="71:75" x14ac:dyDescent="0.2">
      <c r="BS1617" s="149"/>
      <c r="BT1617" s="136"/>
      <c r="BW1617" s="135"/>
    </row>
    <row r="1618" spans="71:75" x14ac:dyDescent="0.2">
      <c r="BS1618" s="149"/>
      <c r="BT1618" s="136"/>
      <c r="BW1618" s="135"/>
    </row>
    <row r="1619" spans="71:75" x14ac:dyDescent="0.2">
      <c r="BS1619" s="149"/>
      <c r="BT1619" s="136"/>
      <c r="BW1619" s="135"/>
    </row>
    <row r="1620" spans="71:75" x14ac:dyDescent="0.2">
      <c r="BS1620" s="149"/>
      <c r="BT1620" s="136"/>
      <c r="BW1620" s="135"/>
    </row>
    <row r="1621" spans="71:75" x14ac:dyDescent="0.2">
      <c r="BS1621" s="149"/>
      <c r="BT1621" s="136"/>
      <c r="BW1621" s="135"/>
    </row>
    <row r="1622" spans="71:75" x14ac:dyDescent="0.2">
      <c r="BS1622" s="149"/>
      <c r="BT1622" s="136"/>
      <c r="BW1622" s="135"/>
    </row>
    <row r="1623" spans="71:75" x14ac:dyDescent="0.2">
      <c r="BS1623" s="149"/>
      <c r="BT1623" s="136"/>
      <c r="BW1623" s="135"/>
    </row>
    <row r="1624" spans="71:75" x14ac:dyDescent="0.2">
      <c r="BS1624" s="149"/>
      <c r="BT1624" s="136"/>
      <c r="BW1624" s="135"/>
    </row>
    <row r="1625" spans="71:75" x14ac:dyDescent="0.2">
      <c r="BS1625" s="149"/>
      <c r="BT1625" s="136"/>
      <c r="BW1625" s="135"/>
    </row>
    <row r="1626" spans="71:75" x14ac:dyDescent="0.2">
      <c r="BS1626" s="149"/>
      <c r="BT1626" s="136"/>
      <c r="BW1626" s="135"/>
    </row>
    <row r="1627" spans="71:75" x14ac:dyDescent="0.2">
      <c r="BS1627" s="149"/>
      <c r="BT1627" s="136"/>
      <c r="BW1627" s="135"/>
    </row>
    <row r="1628" spans="71:75" x14ac:dyDescent="0.2">
      <c r="BS1628" s="149"/>
      <c r="BT1628" s="136"/>
      <c r="BW1628" s="135"/>
    </row>
    <row r="1629" spans="71:75" x14ac:dyDescent="0.2">
      <c r="BS1629" s="149"/>
      <c r="BT1629" s="136"/>
      <c r="BW1629" s="135"/>
    </row>
    <row r="1630" spans="71:75" x14ac:dyDescent="0.2">
      <c r="BS1630" s="149"/>
      <c r="BT1630" s="136"/>
      <c r="BW1630" s="135"/>
    </row>
    <row r="1631" spans="71:75" x14ac:dyDescent="0.2">
      <c r="BS1631" s="149"/>
      <c r="BT1631" s="136"/>
      <c r="BW1631" s="135"/>
    </row>
    <row r="1632" spans="71:75" x14ac:dyDescent="0.2">
      <c r="BS1632" s="149"/>
      <c r="BT1632" s="136"/>
      <c r="BW1632" s="135"/>
    </row>
    <row r="1633" spans="71:75" x14ac:dyDescent="0.2">
      <c r="BS1633" s="149"/>
      <c r="BT1633" s="136"/>
      <c r="BW1633" s="135"/>
    </row>
    <row r="1634" spans="71:75" x14ac:dyDescent="0.2">
      <c r="BS1634" s="149"/>
      <c r="BT1634" s="136"/>
      <c r="BW1634" s="135"/>
    </row>
    <row r="1635" spans="71:75" x14ac:dyDescent="0.2">
      <c r="BS1635" s="149"/>
      <c r="BT1635" s="136"/>
      <c r="BW1635" s="135"/>
    </row>
    <row r="1636" spans="71:75" x14ac:dyDescent="0.2">
      <c r="BS1636" s="149"/>
      <c r="BT1636" s="136"/>
      <c r="BW1636" s="135"/>
    </row>
    <row r="1637" spans="71:75" x14ac:dyDescent="0.2">
      <c r="BS1637" s="149"/>
      <c r="BT1637" s="136"/>
      <c r="BW1637" s="135"/>
    </row>
    <row r="1638" spans="71:75" x14ac:dyDescent="0.2">
      <c r="BS1638" s="149"/>
      <c r="BT1638" s="136"/>
      <c r="BW1638" s="135"/>
    </row>
    <row r="1639" spans="71:75" x14ac:dyDescent="0.2">
      <c r="BS1639" s="149"/>
      <c r="BT1639" s="136"/>
      <c r="BW1639" s="135"/>
    </row>
    <row r="1640" spans="71:75" x14ac:dyDescent="0.2">
      <c r="BS1640" s="149"/>
      <c r="BT1640" s="136"/>
      <c r="BW1640" s="135"/>
    </row>
    <row r="1641" spans="71:75" x14ac:dyDescent="0.2">
      <c r="BS1641" s="149"/>
      <c r="BT1641" s="136"/>
      <c r="BW1641" s="135"/>
    </row>
    <row r="1642" spans="71:75" x14ac:dyDescent="0.2">
      <c r="BS1642" s="149"/>
      <c r="BT1642" s="136"/>
      <c r="BW1642" s="135"/>
    </row>
    <row r="1643" spans="71:75" x14ac:dyDescent="0.2">
      <c r="BS1643" s="149"/>
      <c r="BT1643" s="136"/>
      <c r="BW1643" s="135"/>
    </row>
    <row r="1644" spans="71:75" x14ac:dyDescent="0.2">
      <c r="BS1644" s="149"/>
      <c r="BT1644" s="136"/>
      <c r="BW1644" s="135"/>
    </row>
    <row r="1645" spans="71:75" x14ac:dyDescent="0.2">
      <c r="BS1645" s="149"/>
      <c r="BT1645" s="136"/>
      <c r="BW1645" s="135"/>
    </row>
    <row r="1646" spans="71:75" x14ac:dyDescent="0.2">
      <c r="BS1646" s="149"/>
      <c r="BT1646" s="136"/>
      <c r="BW1646" s="135"/>
    </row>
    <row r="1647" spans="71:75" x14ac:dyDescent="0.2">
      <c r="BS1647" s="149"/>
      <c r="BT1647" s="136"/>
      <c r="BW1647" s="135"/>
    </row>
    <row r="1648" spans="71:75" x14ac:dyDescent="0.2">
      <c r="BS1648" s="149"/>
      <c r="BT1648" s="136"/>
      <c r="BW1648" s="135"/>
    </row>
    <row r="1649" spans="71:75" x14ac:dyDescent="0.2">
      <c r="BS1649" s="149"/>
      <c r="BT1649" s="136"/>
      <c r="BW1649" s="135"/>
    </row>
    <row r="1650" spans="71:75" x14ac:dyDescent="0.2">
      <c r="BS1650" s="149"/>
      <c r="BT1650" s="136"/>
      <c r="BW1650" s="135"/>
    </row>
    <row r="1651" spans="71:75" x14ac:dyDescent="0.2">
      <c r="BS1651" s="149"/>
      <c r="BT1651" s="136"/>
      <c r="BW1651" s="135"/>
    </row>
    <row r="1652" spans="71:75" x14ac:dyDescent="0.2">
      <c r="BS1652" s="149"/>
      <c r="BT1652" s="136"/>
      <c r="BW1652" s="135"/>
    </row>
    <row r="1653" spans="71:75" x14ac:dyDescent="0.2">
      <c r="BS1653" s="149"/>
      <c r="BT1653" s="136"/>
      <c r="BW1653" s="135"/>
    </row>
    <row r="1654" spans="71:75" x14ac:dyDescent="0.2">
      <c r="BS1654" s="149"/>
      <c r="BT1654" s="136"/>
      <c r="BW1654" s="135"/>
    </row>
    <row r="1655" spans="71:75" x14ac:dyDescent="0.2">
      <c r="BS1655" s="149"/>
      <c r="BT1655" s="136"/>
      <c r="BW1655" s="135"/>
    </row>
    <row r="1656" spans="71:75" x14ac:dyDescent="0.2">
      <c r="BS1656" s="149"/>
      <c r="BT1656" s="136"/>
      <c r="BW1656" s="135"/>
    </row>
    <row r="1657" spans="71:75" x14ac:dyDescent="0.2">
      <c r="BS1657" s="149"/>
      <c r="BT1657" s="136"/>
      <c r="BW1657" s="135"/>
    </row>
    <row r="1658" spans="71:75" x14ac:dyDescent="0.2">
      <c r="BS1658" s="149"/>
      <c r="BT1658" s="136"/>
      <c r="BW1658" s="135"/>
    </row>
    <row r="1659" spans="71:75" x14ac:dyDescent="0.2">
      <c r="BS1659" s="149"/>
      <c r="BT1659" s="136"/>
      <c r="BW1659" s="135"/>
    </row>
    <row r="1660" spans="71:75" x14ac:dyDescent="0.2">
      <c r="BS1660" s="149"/>
      <c r="BT1660" s="136"/>
      <c r="BW1660" s="135"/>
    </row>
    <row r="1661" spans="71:75" x14ac:dyDescent="0.2">
      <c r="BS1661" s="149"/>
      <c r="BT1661" s="136"/>
      <c r="BW1661" s="135"/>
    </row>
    <row r="1662" spans="71:75" x14ac:dyDescent="0.2">
      <c r="BS1662" s="149"/>
      <c r="BT1662" s="136"/>
      <c r="BW1662" s="135"/>
    </row>
    <row r="1663" spans="71:75" x14ac:dyDescent="0.2">
      <c r="BS1663" s="149"/>
      <c r="BT1663" s="136"/>
      <c r="BW1663" s="135"/>
    </row>
    <row r="1664" spans="71:75" x14ac:dyDescent="0.2">
      <c r="BS1664" s="149"/>
      <c r="BT1664" s="136"/>
      <c r="BW1664" s="135"/>
    </row>
    <row r="1665" spans="71:75" x14ac:dyDescent="0.2">
      <c r="BS1665" s="149"/>
      <c r="BT1665" s="136"/>
      <c r="BW1665" s="135"/>
    </row>
    <row r="1666" spans="71:75" x14ac:dyDescent="0.2">
      <c r="BS1666" s="149"/>
      <c r="BT1666" s="136"/>
      <c r="BW1666" s="135"/>
    </row>
    <row r="1667" spans="71:75" x14ac:dyDescent="0.2">
      <c r="BS1667" s="149"/>
      <c r="BT1667" s="136"/>
      <c r="BW1667" s="135"/>
    </row>
    <row r="1668" spans="71:75" x14ac:dyDescent="0.2">
      <c r="BS1668" s="149"/>
      <c r="BT1668" s="136"/>
      <c r="BW1668" s="135"/>
    </row>
    <row r="1669" spans="71:75" x14ac:dyDescent="0.2">
      <c r="BS1669" s="149"/>
      <c r="BT1669" s="136"/>
      <c r="BW1669" s="135"/>
    </row>
    <row r="1670" spans="71:75" x14ac:dyDescent="0.2">
      <c r="BS1670" s="149"/>
      <c r="BT1670" s="136"/>
      <c r="BW1670" s="135"/>
    </row>
    <row r="1671" spans="71:75" x14ac:dyDescent="0.2">
      <c r="BS1671" s="149"/>
      <c r="BT1671" s="136"/>
      <c r="BW1671" s="135"/>
    </row>
    <row r="1672" spans="71:75" x14ac:dyDescent="0.2">
      <c r="BS1672" s="149"/>
      <c r="BT1672" s="136"/>
      <c r="BW1672" s="135"/>
    </row>
    <row r="1673" spans="71:75" x14ac:dyDescent="0.2">
      <c r="BS1673" s="149"/>
      <c r="BT1673" s="136"/>
      <c r="BW1673" s="135"/>
    </row>
    <row r="1674" spans="71:75" x14ac:dyDescent="0.2">
      <c r="BS1674" s="149"/>
      <c r="BT1674" s="136"/>
      <c r="BW1674" s="135"/>
    </row>
    <row r="1675" spans="71:75" x14ac:dyDescent="0.2">
      <c r="BS1675" s="149"/>
      <c r="BT1675" s="136"/>
      <c r="BW1675" s="135"/>
    </row>
    <row r="1676" spans="71:75" x14ac:dyDescent="0.2">
      <c r="BS1676" s="149"/>
      <c r="BT1676" s="136"/>
      <c r="BW1676" s="135"/>
    </row>
    <row r="1677" spans="71:75" x14ac:dyDescent="0.2">
      <c r="BS1677" s="149"/>
      <c r="BT1677" s="136"/>
      <c r="BW1677" s="135"/>
    </row>
    <row r="1678" spans="71:75" x14ac:dyDescent="0.2">
      <c r="BS1678" s="149"/>
      <c r="BT1678" s="136"/>
      <c r="BW1678" s="135"/>
    </row>
    <row r="1679" spans="71:75" x14ac:dyDescent="0.2">
      <c r="BS1679" s="149"/>
      <c r="BT1679" s="136"/>
      <c r="BW1679" s="135"/>
    </row>
    <row r="1680" spans="71:75" x14ac:dyDescent="0.2">
      <c r="BS1680" s="149"/>
      <c r="BT1680" s="136"/>
      <c r="BW1680" s="135"/>
    </row>
    <row r="1681" spans="71:75" x14ac:dyDescent="0.2">
      <c r="BS1681" s="149"/>
      <c r="BT1681" s="136"/>
      <c r="BW1681" s="135"/>
    </row>
    <row r="1682" spans="71:75" x14ac:dyDescent="0.2">
      <c r="BS1682" s="149"/>
      <c r="BT1682" s="136"/>
      <c r="BW1682" s="135"/>
    </row>
    <row r="1683" spans="71:75" x14ac:dyDescent="0.2">
      <c r="BS1683" s="149"/>
      <c r="BT1683" s="136"/>
      <c r="BW1683" s="135"/>
    </row>
    <row r="1684" spans="71:75" x14ac:dyDescent="0.2">
      <c r="BS1684" s="149"/>
      <c r="BT1684" s="136"/>
      <c r="BW1684" s="135"/>
    </row>
    <row r="1685" spans="71:75" x14ac:dyDescent="0.2">
      <c r="BS1685" s="149"/>
      <c r="BT1685" s="136"/>
      <c r="BW1685" s="135"/>
    </row>
    <row r="1686" spans="71:75" x14ac:dyDescent="0.2">
      <c r="BS1686" s="149"/>
      <c r="BT1686" s="136"/>
      <c r="BW1686" s="135"/>
    </row>
    <row r="1687" spans="71:75" x14ac:dyDescent="0.2">
      <c r="BS1687" s="149"/>
      <c r="BT1687" s="136"/>
      <c r="BW1687" s="135"/>
    </row>
    <row r="1688" spans="71:75" x14ac:dyDescent="0.2">
      <c r="BS1688" s="149"/>
      <c r="BT1688" s="136"/>
      <c r="BW1688" s="135"/>
    </row>
    <row r="1689" spans="71:75" x14ac:dyDescent="0.2">
      <c r="BS1689" s="149"/>
      <c r="BT1689" s="136"/>
      <c r="BW1689" s="135"/>
    </row>
    <row r="1690" spans="71:75" x14ac:dyDescent="0.2">
      <c r="BS1690" s="149"/>
      <c r="BT1690" s="136"/>
      <c r="BW1690" s="135"/>
    </row>
    <row r="1691" spans="71:75" x14ac:dyDescent="0.2">
      <c r="BS1691" s="149"/>
      <c r="BT1691" s="136"/>
      <c r="BW1691" s="135"/>
    </row>
    <row r="1692" spans="71:75" x14ac:dyDescent="0.2">
      <c r="BS1692" s="149"/>
      <c r="BT1692" s="136"/>
      <c r="BW1692" s="135"/>
    </row>
    <row r="1693" spans="71:75" x14ac:dyDescent="0.2">
      <c r="BS1693" s="149"/>
      <c r="BT1693" s="136"/>
      <c r="BW1693" s="135"/>
    </row>
    <row r="1694" spans="71:75" x14ac:dyDescent="0.2">
      <c r="BS1694" s="149"/>
      <c r="BT1694" s="136"/>
      <c r="BW1694" s="135"/>
    </row>
    <row r="1695" spans="71:75" x14ac:dyDescent="0.2">
      <c r="BS1695" s="149"/>
      <c r="BT1695" s="136"/>
      <c r="BW1695" s="135"/>
    </row>
    <row r="1696" spans="71:75" x14ac:dyDescent="0.2">
      <c r="BS1696" s="149"/>
      <c r="BT1696" s="136"/>
      <c r="BW1696" s="135"/>
    </row>
    <row r="1697" spans="71:75" x14ac:dyDescent="0.2">
      <c r="BS1697" s="149"/>
      <c r="BT1697" s="136"/>
      <c r="BW1697" s="135"/>
    </row>
    <row r="1698" spans="71:75" x14ac:dyDescent="0.2">
      <c r="BS1698" s="149"/>
      <c r="BT1698" s="136"/>
      <c r="BW1698" s="135"/>
    </row>
    <row r="1699" spans="71:75" x14ac:dyDescent="0.2">
      <c r="BS1699" s="149"/>
      <c r="BT1699" s="136"/>
      <c r="BW1699" s="135"/>
    </row>
    <row r="1700" spans="71:75" x14ac:dyDescent="0.2">
      <c r="BS1700" s="149"/>
      <c r="BT1700" s="136"/>
      <c r="BW1700" s="135"/>
    </row>
    <row r="1701" spans="71:75" x14ac:dyDescent="0.2">
      <c r="BS1701" s="149"/>
      <c r="BT1701" s="136"/>
      <c r="BW1701" s="135"/>
    </row>
    <row r="1702" spans="71:75" x14ac:dyDescent="0.2">
      <c r="BS1702" s="149"/>
      <c r="BT1702" s="136"/>
      <c r="BW1702" s="135"/>
    </row>
    <row r="1703" spans="71:75" x14ac:dyDescent="0.2">
      <c r="BS1703" s="149"/>
      <c r="BT1703" s="136"/>
      <c r="BW1703" s="135"/>
    </row>
    <row r="1704" spans="71:75" x14ac:dyDescent="0.2">
      <c r="BS1704" s="149"/>
      <c r="BT1704" s="136"/>
      <c r="BW1704" s="135"/>
    </row>
    <row r="1705" spans="71:75" x14ac:dyDescent="0.2">
      <c r="BS1705" s="149"/>
      <c r="BT1705" s="136"/>
      <c r="BW1705" s="135"/>
    </row>
    <row r="1706" spans="71:75" x14ac:dyDescent="0.2">
      <c r="BS1706" s="149"/>
      <c r="BT1706" s="136"/>
      <c r="BW1706" s="135"/>
    </row>
    <row r="1707" spans="71:75" x14ac:dyDescent="0.2">
      <c r="BS1707" s="149"/>
      <c r="BT1707" s="136"/>
      <c r="BW1707" s="135"/>
    </row>
    <row r="1708" spans="71:75" x14ac:dyDescent="0.2">
      <c r="BS1708" s="149"/>
      <c r="BT1708" s="136"/>
      <c r="BW1708" s="135"/>
    </row>
    <row r="1709" spans="71:75" x14ac:dyDescent="0.2">
      <c r="BS1709" s="149"/>
      <c r="BT1709" s="136"/>
      <c r="BW1709" s="135"/>
    </row>
    <row r="1710" spans="71:75" x14ac:dyDescent="0.2">
      <c r="BS1710" s="149"/>
      <c r="BT1710" s="136"/>
      <c r="BW1710" s="135"/>
    </row>
    <row r="1711" spans="71:75" x14ac:dyDescent="0.2">
      <c r="BS1711" s="149"/>
      <c r="BT1711" s="136"/>
      <c r="BW1711" s="135"/>
    </row>
    <row r="1712" spans="71:75" x14ac:dyDescent="0.2">
      <c r="BS1712" s="149"/>
      <c r="BT1712" s="136"/>
      <c r="BW1712" s="135"/>
    </row>
    <row r="1713" spans="71:75" x14ac:dyDescent="0.2">
      <c r="BS1713" s="149"/>
      <c r="BT1713" s="136"/>
      <c r="BW1713" s="135"/>
    </row>
    <row r="1714" spans="71:75" x14ac:dyDescent="0.2">
      <c r="BS1714" s="149"/>
      <c r="BT1714" s="136"/>
      <c r="BW1714" s="135"/>
    </row>
    <row r="1715" spans="71:75" x14ac:dyDescent="0.2">
      <c r="BS1715" s="149"/>
      <c r="BT1715" s="136"/>
      <c r="BW1715" s="135"/>
    </row>
    <row r="1716" spans="71:75" x14ac:dyDescent="0.2">
      <c r="BS1716" s="149"/>
      <c r="BT1716" s="136"/>
      <c r="BW1716" s="135"/>
    </row>
    <row r="1717" spans="71:75" x14ac:dyDescent="0.2">
      <c r="BS1717" s="149"/>
      <c r="BT1717" s="136"/>
      <c r="BW1717" s="135"/>
    </row>
    <row r="1718" spans="71:75" x14ac:dyDescent="0.2">
      <c r="BS1718" s="149"/>
      <c r="BT1718" s="136"/>
      <c r="BW1718" s="135"/>
    </row>
    <row r="1719" spans="71:75" x14ac:dyDescent="0.2">
      <c r="BS1719" s="149"/>
      <c r="BT1719" s="136"/>
      <c r="BW1719" s="135"/>
    </row>
    <row r="1720" spans="71:75" x14ac:dyDescent="0.2">
      <c r="BS1720" s="149"/>
      <c r="BT1720" s="136"/>
      <c r="BW1720" s="135"/>
    </row>
    <row r="1721" spans="71:75" x14ac:dyDescent="0.2">
      <c r="BS1721" s="149"/>
      <c r="BT1721" s="136"/>
      <c r="BW1721" s="135"/>
    </row>
    <row r="1722" spans="71:75" x14ac:dyDescent="0.2">
      <c r="BS1722" s="149"/>
      <c r="BT1722" s="136"/>
      <c r="BW1722" s="135"/>
    </row>
    <row r="1723" spans="71:75" x14ac:dyDescent="0.2">
      <c r="BS1723" s="149"/>
      <c r="BT1723" s="136"/>
      <c r="BW1723" s="135"/>
    </row>
    <row r="1724" spans="71:75" x14ac:dyDescent="0.2">
      <c r="BS1724" s="149"/>
      <c r="BT1724" s="136"/>
      <c r="BW1724" s="135"/>
    </row>
    <row r="1725" spans="71:75" x14ac:dyDescent="0.2">
      <c r="BS1725" s="149"/>
      <c r="BT1725" s="136"/>
      <c r="BW1725" s="135"/>
    </row>
    <row r="1726" spans="71:75" x14ac:dyDescent="0.2">
      <c r="BS1726" s="149"/>
      <c r="BT1726" s="136"/>
      <c r="BW1726" s="135"/>
    </row>
    <row r="1727" spans="71:75" x14ac:dyDescent="0.2">
      <c r="BS1727" s="149"/>
      <c r="BT1727" s="136"/>
      <c r="BW1727" s="135"/>
    </row>
    <row r="1728" spans="71:75" x14ac:dyDescent="0.2">
      <c r="BS1728" s="149"/>
      <c r="BT1728" s="136"/>
      <c r="BW1728" s="135"/>
    </row>
    <row r="1729" spans="71:75" x14ac:dyDescent="0.2">
      <c r="BS1729" s="149"/>
      <c r="BT1729" s="136"/>
      <c r="BW1729" s="135"/>
    </row>
    <row r="1730" spans="71:75" x14ac:dyDescent="0.2">
      <c r="BS1730" s="149"/>
      <c r="BT1730" s="136"/>
      <c r="BW1730" s="135"/>
    </row>
    <row r="1731" spans="71:75" x14ac:dyDescent="0.2">
      <c r="BS1731" s="149"/>
      <c r="BT1731" s="136"/>
      <c r="BW1731" s="135"/>
    </row>
    <row r="1732" spans="71:75" x14ac:dyDescent="0.2">
      <c r="BS1732" s="149"/>
      <c r="BT1732" s="136"/>
      <c r="BW1732" s="135"/>
    </row>
    <row r="1733" spans="71:75" x14ac:dyDescent="0.2">
      <c r="BS1733" s="149"/>
      <c r="BT1733" s="136"/>
      <c r="BW1733" s="135"/>
    </row>
    <row r="1734" spans="71:75" x14ac:dyDescent="0.2">
      <c r="BS1734" s="149"/>
      <c r="BT1734" s="136"/>
      <c r="BW1734" s="135"/>
    </row>
    <row r="1735" spans="71:75" x14ac:dyDescent="0.2">
      <c r="BS1735" s="149"/>
      <c r="BT1735" s="136"/>
      <c r="BW1735" s="135"/>
    </row>
    <row r="1736" spans="71:75" x14ac:dyDescent="0.2">
      <c r="BS1736" s="149"/>
      <c r="BT1736" s="136"/>
      <c r="BW1736" s="135"/>
    </row>
    <row r="1737" spans="71:75" ht="15" x14ac:dyDescent="0.2">
      <c r="BT1737" s="136"/>
      <c r="BW1737" s="135"/>
    </row>
    <row r="1738" spans="71:75" ht="15" x14ac:dyDescent="0.2">
      <c r="BT1738" s="136"/>
      <c r="BW1738" s="135"/>
    </row>
    <row r="1739" spans="71:75" ht="15" x14ac:dyDescent="0.2">
      <c r="BT1739" s="136"/>
      <c r="BW1739" s="135"/>
    </row>
    <row r="1740" spans="71:75" ht="15" x14ac:dyDescent="0.2">
      <c r="BT1740" s="136"/>
      <c r="BW1740" s="135"/>
    </row>
    <row r="1741" spans="71:75" ht="15" x14ac:dyDescent="0.2">
      <c r="BT1741" s="136"/>
      <c r="BW1741" s="135"/>
    </row>
    <row r="1742" spans="71:75" ht="15" x14ac:dyDescent="0.2">
      <c r="BT1742" s="136"/>
      <c r="BW1742" s="135"/>
    </row>
    <row r="1743" spans="71:75" ht="15" x14ac:dyDescent="0.2">
      <c r="BT1743" s="136"/>
      <c r="BW1743" s="135"/>
    </row>
    <row r="1744" spans="71:75" ht="15" x14ac:dyDescent="0.2">
      <c r="BT1744" s="136"/>
      <c r="BW1744" s="135"/>
    </row>
    <row r="1745" spans="72:75" ht="15" x14ac:dyDescent="0.2">
      <c r="BT1745" s="136"/>
      <c r="BW1745" s="135"/>
    </row>
    <row r="1746" spans="72:75" ht="15" x14ac:dyDescent="0.2">
      <c r="BT1746" s="136"/>
      <c r="BW1746" s="135"/>
    </row>
    <row r="1747" spans="72:75" ht="15" x14ac:dyDescent="0.2">
      <c r="BT1747" s="136"/>
      <c r="BW1747" s="135"/>
    </row>
    <row r="1748" spans="72:75" ht="15" x14ac:dyDescent="0.2">
      <c r="BT1748" s="136"/>
      <c r="BW1748" s="135"/>
    </row>
    <row r="1749" spans="72:75" ht="15" x14ac:dyDescent="0.2">
      <c r="BT1749" s="136"/>
      <c r="BW1749" s="135"/>
    </row>
    <row r="1750" spans="72:75" ht="15" x14ac:dyDescent="0.2">
      <c r="BT1750" s="136"/>
      <c r="BW1750" s="135"/>
    </row>
    <row r="1751" spans="72:75" ht="15" x14ac:dyDescent="0.2">
      <c r="BT1751" s="136"/>
      <c r="BW1751" s="135"/>
    </row>
    <row r="1752" spans="72:75" ht="15" x14ac:dyDescent="0.2">
      <c r="BT1752" s="136"/>
      <c r="BW1752" s="135"/>
    </row>
    <row r="1753" spans="72:75" ht="15" x14ac:dyDescent="0.2">
      <c r="BT1753" s="136"/>
      <c r="BW1753" s="135"/>
    </row>
    <row r="1754" spans="72:75" ht="15" x14ac:dyDescent="0.2">
      <c r="BT1754" s="136"/>
      <c r="BW1754" s="135"/>
    </row>
    <row r="1755" spans="72:75" ht="15" x14ac:dyDescent="0.2">
      <c r="BT1755" s="136"/>
      <c r="BW1755" s="135"/>
    </row>
    <row r="1756" spans="72:75" ht="15" x14ac:dyDescent="0.2">
      <c r="BT1756" s="136"/>
      <c r="BW1756" s="135"/>
    </row>
    <row r="1757" spans="72:75" ht="15" x14ac:dyDescent="0.2">
      <c r="BT1757" s="136"/>
      <c r="BW1757" s="135"/>
    </row>
    <row r="1758" spans="72:75" ht="15" x14ac:dyDescent="0.2">
      <c r="BT1758" s="136"/>
      <c r="BW1758" s="135"/>
    </row>
    <row r="1759" spans="72:75" ht="15" x14ac:dyDescent="0.2">
      <c r="BT1759" s="136"/>
      <c r="BW1759" s="135"/>
    </row>
    <row r="1760" spans="72:75" ht="15" x14ac:dyDescent="0.2">
      <c r="BT1760" s="136"/>
      <c r="BW1760" s="135"/>
    </row>
    <row r="1761" spans="72:75" ht="15" x14ac:dyDescent="0.2">
      <c r="BT1761" s="136"/>
      <c r="BW1761" s="135"/>
    </row>
    <row r="1762" spans="72:75" ht="15" x14ac:dyDescent="0.2">
      <c r="BT1762" s="136"/>
      <c r="BW1762" s="135"/>
    </row>
    <row r="1763" spans="72:75" ht="15" x14ac:dyDescent="0.2">
      <c r="BT1763" s="136"/>
      <c r="BW1763" s="135"/>
    </row>
    <row r="1764" spans="72:75" ht="15" x14ac:dyDescent="0.2">
      <c r="BT1764" s="136"/>
      <c r="BW1764" s="135"/>
    </row>
    <row r="1765" spans="72:75" ht="15" x14ac:dyDescent="0.2">
      <c r="BT1765" s="136"/>
      <c r="BW1765" s="135"/>
    </row>
    <row r="1766" spans="72:75" ht="15" x14ac:dyDescent="0.2">
      <c r="BT1766" s="136"/>
      <c r="BW1766" s="135"/>
    </row>
    <row r="1767" spans="72:75" ht="15" x14ac:dyDescent="0.2">
      <c r="BT1767" s="136"/>
      <c r="BW1767" s="135"/>
    </row>
    <row r="1768" spans="72:75" ht="15" x14ac:dyDescent="0.2">
      <c r="BT1768" s="136"/>
      <c r="BW1768" s="135"/>
    </row>
    <row r="1769" spans="72:75" ht="15" x14ac:dyDescent="0.2">
      <c r="BT1769" s="136"/>
      <c r="BW1769" s="135"/>
    </row>
    <row r="1770" spans="72:75" ht="15" x14ac:dyDescent="0.2">
      <c r="BT1770" s="136"/>
      <c r="BW1770" s="135"/>
    </row>
    <row r="1771" spans="72:75" ht="15" x14ac:dyDescent="0.2">
      <c r="BT1771" s="136"/>
      <c r="BW1771" s="135"/>
    </row>
    <row r="1772" spans="72:75" ht="15" x14ac:dyDescent="0.2">
      <c r="BT1772" s="136"/>
      <c r="BW1772" s="135"/>
    </row>
    <row r="1773" spans="72:75" ht="15" x14ac:dyDescent="0.2">
      <c r="BT1773" s="136"/>
      <c r="BW1773" s="135"/>
    </row>
    <row r="1774" spans="72:75" ht="15" x14ac:dyDescent="0.2">
      <c r="BT1774" s="136"/>
      <c r="BW1774" s="135"/>
    </row>
    <row r="1775" spans="72:75" ht="15" x14ac:dyDescent="0.2">
      <c r="BT1775" s="136"/>
      <c r="BW1775" s="135"/>
    </row>
    <row r="1776" spans="72:75" ht="15" x14ac:dyDescent="0.2">
      <c r="BT1776" s="136"/>
      <c r="BW1776" s="135"/>
    </row>
    <row r="1777" spans="72:76" ht="15" x14ac:dyDescent="0.2">
      <c r="BT1777" s="136"/>
      <c r="BW1777" s="135"/>
    </row>
    <row r="1778" spans="72:76" ht="15" x14ac:dyDescent="0.2">
      <c r="BT1778" s="136"/>
      <c r="BW1778" s="135"/>
    </row>
    <row r="1779" spans="72:76" ht="15" x14ac:dyDescent="0.2">
      <c r="BT1779" s="136"/>
      <c r="BW1779" s="135"/>
    </row>
    <row r="1780" spans="72:76" ht="15" x14ac:dyDescent="0.2">
      <c r="BT1780" s="136"/>
      <c r="BW1780" s="135"/>
    </row>
    <row r="1781" spans="72:76" ht="15" x14ac:dyDescent="0.2">
      <c r="BT1781" s="136"/>
      <c r="BW1781" s="135"/>
    </row>
    <row r="1782" spans="72:76" ht="15" x14ac:dyDescent="0.2">
      <c r="BT1782" s="136"/>
      <c r="BW1782" s="135"/>
      <c r="BX1782" s="365"/>
    </row>
    <row r="1783" spans="72:76" ht="15" x14ac:dyDescent="0.2">
      <c r="BT1783" s="136"/>
      <c r="BW1783" s="135"/>
      <c r="BX1783" s="365"/>
    </row>
    <row r="1784" spans="72:76" ht="15" x14ac:dyDescent="0.2">
      <c r="BT1784" s="136"/>
      <c r="BW1784" s="135"/>
      <c r="BX1784" s="365"/>
    </row>
    <row r="1785" spans="72:76" ht="15" x14ac:dyDescent="0.2">
      <c r="BT1785" s="136"/>
      <c r="BW1785" s="135"/>
      <c r="BX1785" s="365"/>
    </row>
    <row r="1786" spans="72:76" ht="15" x14ac:dyDescent="0.2">
      <c r="BT1786" s="136"/>
      <c r="BW1786" s="135"/>
      <c r="BX1786" s="365"/>
    </row>
    <row r="1787" spans="72:76" ht="15" x14ac:dyDescent="0.2">
      <c r="BT1787" s="136"/>
      <c r="BW1787" s="135"/>
      <c r="BX1787" s="365"/>
    </row>
    <row r="1788" spans="72:76" ht="15" x14ac:dyDescent="0.2">
      <c r="BT1788" s="136"/>
      <c r="BW1788" s="135"/>
      <c r="BX1788" s="365"/>
    </row>
    <row r="1789" spans="72:76" ht="15" x14ac:dyDescent="0.2">
      <c r="BT1789" s="136"/>
      <c r="BW1789" s="135"/>
      <c r="BX1789" s="365"/>
    </row>
    <row r="1790" spans="72:76" ht="15" x14ac:dyDescent="0.2">
      <c r="BT1790" s="136"/>
      <c r="BW1790" s="135"/>
      <c r="BX1790" s="365"/>
    </row>
    <row r="1791" spans="72:76" ht="15" x14ac:dyDescent="0.2">
      <c r="BT1791" s="136"/>
      <c r="BW1791" s="135"/>
      <c r="BX1791" s="365"/>
    </row>
    <row r="1792" spans="72:76" x14ac:dyDescent="0.2">
      <c r="BW1792" s="135"/>
      <c r="BX1792" s="365"/>
    </row>
    <row r="1793" spans="75:76" x14ac:dyDescent="0.2">
      <c r="BW1793" s="135"/>
      <c r="BX1793" s="365"/>
    </row>
    <row r="1794" spans="75:76" x14ac:dyDescent="0.2">
      <c r="BW1794" s="135"/>
      <c r="BX1794" s="365"/>
    </row>
    <row r="1795" spans="75:76" x14ac:dyDescent="0.2">
      <c r="BX1795" s="365"/>
    </row>
    <row r="1796" spans="75:76" x14ac:dyDescent="0.2">
      <c r="BX1796" s="365"/>
    </row>
    <row r="1797" spans="75:76" x14ac:dyDescent="0.2">
      <c r="BX1797" s="365"/>
    </row>
    <row r="1798" spans="75:76" x14ac:dyDescent="0.2">
      <c r="BX1798" s="365"/>
    </row>
    <row r="1799" spans="75:76" x14ac:dyDescent="0.2">
      <c r="BX1799" s="365"/>
    </row>
    <row r="1800" spans="75:76" x14ac:dyDescent="0.2">
      <c r="BX1800" s="365"/>
    </row>
    <row r="1801" spans="75:76" x14ac:dyDescent="0.2">
      <c r="BX1801" s="365"/>
    </row>
    <row r="1802" spans="75:76" x14ac:dyDescent="0.2">
      <c r="BX1802" s="365"/>
    </row>
    <row r="1803" spans="75:76" x14ac:dyDescent="0.2">
      <c r="BX1803" s="365"/>
    </row>
    <row r="1804" spans="75:76" x14ac:dyDescent="0.2">
      <c r="BX1804" s="365"/>
    </row>
    <row r="1805" spans="75:76" x14ac:dyDescent="0.2">
      <c r="BX1805" s="365"/>
    </row>
    <row r="1806" spans="75:76" x14ac:dyDescent="0.2">
      <c r="BX1806" s="365"/>
    </row>
    <row r="1807" spans="75:76" x14ac:dyDescent="0.2">
      <c r="BX1807" s="365"/>
    </row>
    <row r="1808" spans="75:76" x14ac:dyDescent="0.2">
      <c r="BX1808" s="365"/>
    </row>
    <row r="1809" spans="76:76" x14ac:dyDescent="0.2">
      <c r="BX1809" s="365"/>
    </row>
    <row r="1810" spans="76:76" x14ac:dyDescent="0.2">
      <c r="BX1810" s="365"/>
    </row>
    <row r="1811" spans="76:76" x14ac:dyDescent="0.2">
      <c r="BX1811" s="365"/>
    </row>
    <row r="1812" spans="76:76" x14ac:dyDescent="0.2">
      <c r="BX1812" s="365"/>
    </row>
    <row r="1813" spans="76:76" x14ac:dyDescent="0.2">
      <c r="BX1813" s="365"/>
    </row>
    <row r="1814" spans="76:76" x14ac:dyDescent="0.2">
      <c r="BX1814" s="365"/>
    </row>
    <row r="1815" spans="76:76" x14ac:dyDescent="0.2">
      <c r="BX1815" s="365"/>
    </row>
    <row r="1816" spans="76:76" x14ac:dyDescent="0.2">
      <c r="BX1816" s="365"/>
    </row>
    <row r="1817" spans="76:76" x14ac:dyDescent="0.2">
      <c r="BX1817" s="365"/>
    </row>
    <row r="1818" spans="76:76" x14ac:dyDescent="0.2">
      <c r="BX1818" s="365"/>
    </row>
    <row r="1819" spans="76:76" x14ac:dyDescent="0.2">
      <c r="BX1819" s="365"/>
    </row>
    <row r="1820" spans="76:76" x14ac:dyDescent="0.2">
      <c r="BX1820" s="365"/>
    </row>
    <row r="1821" spans="76:76" x14ac:dyDescent="0.2">
      <c r="BX1821" s="365"/>
    </row>
    <row r="1822" spans="76:76" x14ac:dyDescent="0.2">
      <c r="BX1822" s="365"/>
    </row>
    <row r="1823" spans="76:76" x14ac:dyDescent="0.2">
      <c r="BX1823" s="365"/>
    </row>
    <row r="1824" spans="76:76" x14ac:dyDescent="0.2">
      <c r="BX1824" s="365"/>
    </row>
    <row r="1825" spans="76:76" x14ac:dyDescent="0.2">
      <c r="BX1825" s="365"/>
    </row>
    <row r="1826" spans="76:76" x14ac:dyDescent="0.2">
      <c r="BX1826" s="365"/>
    </row>
    <row r="1827" spans="76:76" x14ac:dyDescent="0.2">
      <c r="BX1827" s="365"/>
    </row>
    <row r="1828" spans="76:76" x14ac:dyDescent="0.2">
      <c r="BX1828" s="365"/>
    </row>
    <row r="1829" spans="76:76" x14ac:dyDescent="0.2">
      <c r="BX1829" s="365"/>
    </row>
    <row r="1830" spans="76:76" x14ac:dyDescent="0.2">
      <c r="BX1830" s="365"/>
    </row>
    <row r="1831" spans="76:76" x14ac:dyDescent="0.2">
      <c r="BX1831" s="365"/>
    </row>
    <row r="1832" spans="76:76" x14ac:dyDescent="0.2">
      <c r="BX1832" s="365"/>
    </row>
    <row r="1833" spans="76:76" x14ac:dyDescent="0.2">
      <c r="BX1833" s="365"/>
    </row>
    <row r="1834" spans="76:76" x14ac:dyDescent="0.2">
      <c r="BX1834" s="365"/>
    </row>
    <row r="1835" spans="76:76" x14ac:dyDescent="0.2">
      <c r="BX1835" s="365"/>
    </row>
    <row r="1836" spans="76:76" x14ac:dyDescent="0.2">
      <c r="BX1836" s="365"/>
    </row>
    <row r="1837" spans="76:76" x14ac:dyDescent="0.2">
      <c r="BX1837" s="365"/>
    </row>
    <row r="1838" spans="76:76" x14ac:dyDescent="0.2">
      <c r="BX1838" s="365"/>
    </row>
    <row r="1839" spans="76:76" x14ac:dyDescent="0.2">
      <c r="BX1839" s="365"/>
    </row>
    <row r="1840" spans="76:76" x14ac:dyDescent="0.2">
      <c r="BX1840" s="365"/>
    </row>
    <row r="1841" spans="76:76" x14ac:dyDescent="0.2">
      <c r="BX1841" s="365"/>
    </row>
    <row r="1842" spans="76:76" x14ac:dyDescent="0.2">
      <c r="BX1842" s="365"/>
    </row>
    <row r="1843" spans="76:76" x14ac:dyDescent="0.2">
      <c r="BX1843" s="365"/>
    </row>
    <row r="1844" spans="76:76" x14ac:dyDescent="0.2">
      <c r="BX1844" s="365"/>
    </row>
    <row r="1845" spans="76:76" x14ac:dyDescent="0.2">
      <c r="BX1845" s="365"/>
    </row>
    <row r="1846" spans="76:76" x14ac:dyDescent="0.2">
      <c r="BX1846" s="365"/>
    </row>
    <row r="1847" spans="76:76" x14ac:dyDescent="0.2">
      <c r="BX1847" s="365"/>
    </row>
    <row r="1848" spans="76:76" x14ac:dyDescent="0.2">
      <c r="BX1848" s="365"/>
    </row>
    <row r="1849" spans="76:76" x14ac:dyDescent="0.2">
      <c r="BX1849" s="365"/>
    </row>
    <row r="1850" spans="76:76" x14ac:dyDescent="0.2">
      <c r="BX1850" s="365"/>
    </row>
    <row r="1851" spans="76:76" x14ac:dyDescent="0.2">
      <c r="BX1851" s="365"/>
    </row>
    <row r="1852" spans="76:76" x14ac:dyDescent="0.2">
      <c r="BX1852" s="365"/>
    </row>
    <row r="1853" spans="76:76" x14ac:dyDescent="0.2">
      <c r="BX1853" s="365"/>
    </row>
    <row r="1854" spans="76:76" x14ac:dyDescent="0.2">
      <c r="BX1854" s="365"/>
    </row>
    <row r="1855" spans="76:76" x14ac:dyDescent="0.2">
      <c r="BX1855" s="365"/>
    </row>
    <row r="1856" spans="76:76" x14ac:dyDescent="0.2">
      <c r="BX1856" s="365"/>
    </row>
    <row r="1857" spans="76:76" x14ac:dyDescent="0.2">
      <c r="BX1857" s="365"/>
    </row>
    <row r="1858" spans="76:76" x14ac:dyDescent="0.2">
      <c r="BX1858" s="365"/>
    </row>
    <row r="1859" spans="76:76" x14ac:dyDescent="0.2">
      <c r="BX1859" s="365"/>
    </row>
    <row r="1860" spans="76:76" x14ac:dyDescent="0.2">
      <c r="BX1860" s="365"/>
    </row>
    <row r="1861" spans="76:76" x14ac:dyDescent="0.2">
      <c r="BX1861" s="365"/>
    </row>
    <row r="1862" spans="76:76" x14ac:dyDescent="0.2">
      <c r="BX1862" s="365"/>
    </row>
    <row r="1863" spans="76:76" x14ac:dyDescent="0.2">
      <c r="BX1863" s="365"/>
    </row>
    <row r="1864" spans="76:76" x14ac:dyDescent="0.2">
      <c r="BX1864" s="365"/>
    </row>
    <row r="1865" spans="76:76" x14ac:dyDescent="0.2">
      <c r="BX1865" s="365"/>
    </row>
    <row r="1866" spans="76:76" x14ac:dyDescent="0.2">
      <c r="BX1866" s="365"/>
    </row>
    <row r="1867" spans="76:76" x14ac:dyDescent="0.2">
      <c r="BX1867" s="365"/>
    </row>
    <row r="1868" spans="76:76" x14ac:dyDescent="0.2">
      <c r="BX1868" s="365"/>
    </row>
    <row r="1869" spans="76:76" x14ac:dyDescent="0.2">
      <c r="BX1869" s="365"/>
    </row>
    <row r="1870" spans="76:76" x14ac:dyDescent="0.2">
      <c r="BX1870" s="365"/>
    </row>
    <row r="1871" spans="76:76" x14ac:dyDescent="0.2">
      <c r="BX1871" s="365"/>
    </row>
    <row r="1872" spans="76:76" x14ac:dyDescent="0.2">
      <c r="BX1872" s="365"/>
    </row>
    <row r="1873" spans="76:76" x14ac:dyDescent="0.2">
      <c r="BX1873" s="365"/>
    </row>
    <row r="1874" spans="76:76" x14ac:dyDescent="0.2">
      <c r="BX1874" s="365"/>
    </row>
    <row r="1875" spans="76:76" x14ac:dyDescent="0.2">
      <c r="BX1875" s="365"/>
    </row>
    <row r="1876" spans="76:76" x14ac:dyDescent="0.2">
      <c r="BX1876" s="365"/>
    </row>
    <row r="1877" spans="76:76" x14ac:dyDescent="0.2">
      <c r="BX1877" s="365"/>
    </row>
    <row r="1878" spans="76:76" x14ac:dyDescent="0.2">
      <c r="BX1878" s="365"/>
    </row>
    <row r="1879" spans="76:76" x14ac:dyDescent="0.2">
      <c r="BX1879" s="365"/>
    </row>
    <row r="1880" spans="76:76" x14ac:dyDescent="0.2">
      <c r="BX1880" s="365"/>
    </row>
    <row r="1883" spans="76:76" x14ac:dyDescent="0.2">
      <c r="BX1883" s="365"/>
    </row>
    <row r="1884" spans="76:76" x14ac:dyDescent="0.2">
      <c r="BX1884" s="365"/>
    </row>
    <row r="1885" spans="76:76" x14ac:dyDescent="0.2">
      <c r="BX1885" s="365"/>
    </row>
    <row r="1886" spans="76:76" x14ac:dyDescent="0.2">
      <c r="BX1886" s="365"/>
    </row>
    <row r="1887" spans="76:76" x14ac:dyDescent="0.2">
      <c r="BX1887" s="365"/>
    </row>
    <row r="1888" spans="76:76" x14ac:dyDescent="0.2">
      <c r="BX1888" s="365"/>
    </row>
    <row r="1889" spans="76:76" x14ac:dyDescent="0.2">
      <c r="BX1889" s="365"/>
    </row>
    <row r="1890" spans="76:76" x14ac:dyDescent="0.2">
      <c r="BX1890" s="365"/>
    </row>
    <row r="1891" spans="76:76" x14ac:dyDescent="0.2">
      <c r="BX1891" s="365"/>
    </row>
    <row r="1892" spans="76:76" x14ac:dyDescent="0.2">
      <c r="BX1892" s="365"/>
    </row>
    <row r="1893" spans="76:76" x14ac:dyDescent="0.2">
      <c r="BX1893" s="365"/>
    </row>
    <row r="1894" spans="76:76" x14ac:dyDescent="0.2">
      <c r="BX1894" s="365"/>
    </row>
    <row r="1895" spans="76:76" x14ac:dyDescent="0.2">
      <c r="BX1895" s="365"/>
    </row>
    <row r="1896" spans="76:76" x14ac:dyDescent="0.2">
      <c r="BX1896" s="365"/>
    </row>
    <row r="1897" spans="76:76" x14ac:dyDescent="0.2">
      <c r="BX1897" s="365"/>
    </row>
    <row r="1898" spans="76:76" x14ac:dyDescent="0.2">
      <c r="BX1898" s="365"/>
    </row>
    <row r="1899" spans="76:76" x14ac:dyDescent="0.2">
      <c r="BX1899" s="365"/>
    </row>
    <row r="1900" spans="76:76" x14ac:dyDescent="0.2">
      <c r="BX1900" s="365"/>
    </row>
    <row r="1901" spans="76:76" x14ac:dyDescent="0.2">
      <c r="BX1901" s="365"/>
    </row>
    <row r="1902" spans="76:76" x14ac:dyDescent="0.2">
      <c r="BX1902" s="365"/>
    </row>
    <row r="1903" spans="76:76" x14ac:dyDescent="0.2">
      <c r="BX1903" s="365"/>
    </row>
    <row r="1904" spans="76:76" x14ac:dyDescent="0.2">
      <c r="BX1904" s="365"/>
    </row>
    <row r="1905" spans="76:76" x14ac:dyDescent="0.2">
      <c r="BX1905" s="365"/>
    </row>
    <row r="1906" spans="76:76" x14ac:dyDescent="0.2">
      <c r="BX1906" s="365"/>
    </row>
    <row r="1907" spans="76:76" x14ac:dyDescent="0.2">
      <c r="BX1907" s="365"/>
    </row>
    <row r="1908" spans="76:76" x14ac:dyDescent="0.2">
      <c r="BX1908" s="365"/>
    </row>
    <row r="1909" spans="76:76" x14ac:dyDescent="0.2">
      <c r="BX1909" s="365"/>
    </row>
    <row r="1910" spans="76:76" x14ac:dyDescent="0.2">
      <c r="BX1910" s="365"/>
    </row>
    <row r="1911" spans="76:76" x14ac:dyDescent="0.2">
      <c r="BX1911" s="365"/>
    </row>
    <row r="1912" spans="76:76" x14ac:dyDescent="0.2">
      <c r="BX1912" s="365"/>
    </row>
    <row r="1913" spans="76:76" x14ac:dyDescent="0.2">
      <c r="BX1913" s="365"/>
    </row>
    <row r="1914" spans="76:76" x14ac:dyDescent="0.2">
      <c r="BX1914" s="365"/>
    </row>
    <row r="1915" spans="76:76" x14ac:dyDescent="0.2">
      <c r="BX1915" s="365"/>
    </row>
    <row r="1916" spans="76:76" x14ac:dyDescent="0.2">
      <c r="BX1916" s="365"/>
    </row>
    <row r="1917" spans="76:76" x14ac:dyDescent="0.2">
      <c r="BX1917" s="365"/>
    </row>
    <row r="1918" spans="76:76" x14ac:dyDescent="0.2">
      <c r="BX1918" s="365"/>
    </row>
    <row r="1919" spans="76:76" x14ac:dyDescent="0.2">
      <c r="BX1919" s="365"/>
    </row>
    <row r="1920" spans="76:76" x14ac:dyDescent="0.2">
      <c r="BX1920" s="365"/>
    </row>
    <row r="1921" spans="76:76" x14ac:dyDescent="0.2">
      <c r="BX1921" s="365"/>
    </row>
    <row r="1922" spans="76:76" x14ac:dyDescent="0.2">
      <c r="BX1922" s="365"/>
    </row>
    <row r="1923" spans="76:76" x14ac:dyDescent="0.2">
      <c r="BX1923" s="365"/>
    </row>
    <row r="1924" spans="76:76" x14ac:dyDescent="0.2">
      <c r="BX1924" s="365"/>
    </row>
    <row r="1925" spans="76:76" x14ac:dyDescent="0.2">
      <c r="BX1925" s="365"/>
    </row>
    <row r="1926" spans="76:76" x14ac:dyDescent="0.2">
      <c r="BX1926" s="365"/>
    </row>
    <row r="1927" spans="76:76" x14ac:dyDescent="0.2">
      <c r="BX1927" s="365"/>
    </row>
    <row r="1928" spans="76:76" x14ac:dyDescent="0.2">
      <c r="BX1928" s="365"/>
    </row>
    <row r="1929" spans="76:76" x14ac:dyDescent="0.2">
      <c r="BX1929" s="365"/>
    </row>
    <row r="1930" spans="76:76" x14ac:dyDescent="0.2">
      <c r="BX1930" s="365"/>
    </row>
    <row r="1931" spans="76:76" x14ac:dyDescent="0.2">
      <c r="BX1931" s="365"/>
    </row>
    <row r="1932" spans="76:76" x14ac:dyDescent="0.2">
      <c r="BX1932" s="365"/>
    </row>
    <row r="1933" spans="76:76" x14ac:dyDescent="0.2">
      <c r="BX1933" s="365"/>
    </row>
    <row r="1934" spans="76:76" x14ac:dyDescent="0.2">
      <c r="BX1934" s="365"/>
    </row>
    <row r="1935" spans="76:76" x14ac:dyDescent="0.2">
      <c r="BX1935" s="365"/>
    </row>
    <row r="1936" spans="76:76" x14ac:dyDescent="0.2">
      <c r="BX1936" s="365"/>
    </row>
    <row r="1937" spans="76:76" x14ac:dyDescent="0.2">
      <c r="BX1937" s="365"/>
    </row>
    <row r="1938" spans="76:76" x14ac:dyDescent="0.2">
      <c r="BX1938" s="365"/>
    </row>
    <row r="1939" spans="76:76" x14ac:dyDescent="0.2">
      <c r="BX1939" s="365"/>
    </row>
    <row r="1940" spans="76:76" x14ac:dyDescent="0.2">
      <c r="BX1940" s="365"/>
    </row>
    <row r="1941" spans="76:76" x14ac:dyDescent="0.2">
      <c r="BX1941" s="365"/>
    </row>
    <row r="1942" spans="76:76" x14ac:dyDescent="0.2">
      <c r="BX1942" s="365"/>
    </row>
    <row r="1943" spans="76:76" x14ac:dyDescent="0.2">
      <c r="BX1943" s="365"/>
    </row>
    <row r="1944" spans="76:76" x14ac:dyDescent="0.2">
      <c r="BX1944" s="365"/>
    </row>
    <row r="1945" spans="76:76" x14ac:dyDescent="0.2">
      <c r="BX1945" s="365"/>
    </row>
    <row r="1946" spans="76:76" x14ac:dyDescent="0.2">
      <c r="BX1946" s="365"/>
    </row>
    <row r="1947" spans="76:76" x14ac:dyDescent="0.2">
      <c r="BX1947" s="365"/>
    </row>
    <row r="1948" spans="76:76" x14ac:dyDescent="0.2">
      <c r="BX1948" s="365"/>
    </row>
    <row r="1949" spans="76:76" x14ac:dyDescent="0.2">
      <c r="BX1949" s="365"/>
    </row>
    <row r="1950" spans="76:76" x14ac:dyDescent="0.2">
      <c r="BX1950" s="365"/>
    </row>
    <row r="1951" spans="76:76" x14ac:dyDescent="0.2">
      <c r="BX1951" s="365"/>
    </row>
    <row r="1952" spans="76:76" x14ac:dyDescent="0.2">
      <c r="BX1952" s="365"/>
    </row>
    <row r="1953" spans="76:76" x14ac:dyDescent="0.2">
      <c r="BX1953" s="365"/>
    </row>
    <row r="1954" spans="76:76" x14ac:dyDescent="0.2">
      <c r="BX1954" s="365"/>
    </row>
    <row r="1955" spans="76:76" x14ac:dyDescent="0.2">
      <c r="BX1955" s="365"/>
    </row>
    <row r="1956" spans="76:76" x14ac:dyDescent="0.2">
      <c r="BX1956" s="365"/>
    </row>
    <row r="1957" spans="76:76" x14ac:dyDescent="0.2">
      <c r="BX1957" s="365"/>
    </row>
    <row r="1958" spans="76:76" x14ac:dyDescent="0.2">
      <c r="BX1958" s="365"/>
    </row>
    <row r="1959" spans="76:76" x14ac:dyDescent="0.2">
      <c r="BX1959" s="365"/>
    </row>
    <row r="1960" spans="76:76" x14ac:dyDescent="0.2">
      <c r="BX1960" s="365"/>
    </row>
    <row r="1961" spans="76:76" x14ac:dyDescent="0.2">
      <c r="BX1961" s="365"/>
    </row>
    <row r="1962" spans="76:76" x14ac:dyDescent="0.2">
      <c r="BX1962" s="365"/>
    </row>
    <row r="1963" spans="76:76" x14ac:dyDescent="0.2">
      <c r="BX1963" s="365"/>
    </row>
    <row r="1964" spans="76:76" x14ac:dyDescent="0.2">
      <c r="BX1964" s="365"/>
    </row>
    <row r="1965" spans="76:76" x14ac:dyDescent="0.2">
      <c r="BX1965" s="365"/>
    </row>
    <row r="1966" spans="76:76" x14ac:dyDescent="0.2">
      <c r="BX1966" s="365"/>
    </row>
    <row r="1967" spans="76:76" x14ac:dyDescent="0.2">
      <c r="BX1967" s="365"/>
    </row>
    <row r="1968" spans="76:76" x14ac:dyDescent="0.2">
      <c r="BX1968" s="365"/>
    </row>
    <row r="1969" spans="76:76" x14ac:dyDescent="0.2">
      <c r="BX1969" s="365"/>
    </row>
    <row r="1970" spans="76:76" x14ac:dyDescent="0.2">
      <c r="BX1970" s="365"/>
    </row>
    <row r="1971" spans="76:76" x14ac:dyDescent="0.2">
      <c r="BX1971" s="365"/>
    </row>
    <row r="1972" spans="76:76" x14ac:dyDescent="0.2">
      <c r="BX1972" s="365"/>
    </row>
    <row r="1973" spans="76:76" x14ac:dyDescent="0.2">
      <c r="BX1973" s="365"/>
    </row>
    <row r="1974" spans="76:76" x14ac:dyDescent="0.2">
      <c r="BX1974" s="365"/>
    </row>
    <row r="1975" spans="76:76" x14ac:dyDescent="0.2">
      <c r="BX1975" s="365"/>
    </row>
    <row r="1976" spans="76:76" x14ac:dyDescent="0.2">
      <c r="BX1976" s="365"/>
    </row>
    <row r="1977" spans="76:76" x14ac:dyDescent="0.2">
      <c r="BX1977" s="365"/>
    </row>
    <row r="1978" spans="76:76" x14ac:dyDescent="0.2">
      <c r="BX1978" s="365"/>
    </row>
    <row r="1979" spans="76:76" x14ac:dyDescent="0.2">
      <c r="BX1979" s="365"/>
    </row>
    <row r="1980" spans="76:76" x14ac:dyDescent="0.2">
      <c r="BX1980" s="365"/>
    </row>
    <row r="1981" spans="76:76" x14ac:dyDescent="0.2">
      <c r="BX1981" s="365"/>
    </row>
    <row r="1982" spans="76:76" x14ac:dyDescent="0.2">
      <c r="BX1982" s="365"/>
    </row>
    <row r="1983" spans="76:76" x14ac:dyDescent="0.2">
      <c r="BX1983" s="365"/>
    </row>
    <row r="1984" spans="76:76" x14ac:dyDescent="0.2">
      <c r="BX1984" s="365"/>
    </row>
    <row r="1985" spans="76:76" x14ac:dyDescent="0.2">
      <c r="BX1985" s="365"/>
    </row>
    <row r="1986" spans="76:76" x14ac:dyDescent="0.2">
      <c r="BX1986" s="365"/>
    </row>
    <row r="1987" spans="76:76" x14ac:dyDescent="0.2">
      <c r="BX1987" s="365"/>
    </row>
    <row r="1988" spans="76:76" x14ac:dyDescent="0.2">
      <c r="BX1988" s="365"/>
    </row>
    <row r="1999" spans="76:76" x14ac:dyDescent="0.2">
      <c r="BX1999" s="365"/>
    </row>
  </sheetData>
  <mergeCells count="8">
    <mergeCell ref="E10:E11"/>
    <mergeCell ref="F10:F11"/>
    <mergeCell ref="G10:G11"/>
    <mergeCell ref="H10:H11"/>
    <mergeCell ref="I10:I11"/>
    <mergeCell ref="J10:J11"/>
    <mergeCell ref="K10:K11"/>
    <mergeCell ref="L10:L11"/>
  </mergeCells>
  <phoneticPr fontId="14" type="noConversion"/>
  <printOptions horizontalCentered="1"/>
  <pageMargins left="0.59055118110236227" right="0.19685039370078741" top="0.19685039370078741" bottom="0.59055118110236227" header="0" footer="0"/>
  <pageSetup paperSize="9" scale="10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FF33"/>
    <pageSetUpPr fitToPage="1"/>
  </sheetPr>
  <dimension ref="A1:X88"/>
  <sheetViews>
    <sheetView showGridLines="0" showZeros="0" zoomScale="85" zoomScaleNormal="85" zoomScaleSheetLayoutView="85" workbookViewId="0">
      <selection activeCell="B10" sqref="B10"/>
    </sheetView>
  </sheetViews>
  <sheetFormatPr baseColWidth="10" defaultColWidth="12.140625" defaultRowHeight="12.75" x14ac:dyDescent="0.2"/>
  <cols>
    <col min="1" max="1" width="15.5703125" style="3" customWidth="1"/>
    <col min="2" max="2" width="6.7109375" style="3" customWidth="1"/>
    <col min="3" max="3" width="53.42578125" style="3" customWidth="1"/>
    <col min="4" max="4" width="22.5703125" style="3" customWidth="1"/>
    <col min="5" max="5" width="8.140625" style="3" bestFit="1" customWidth="1"/>
    <col min="6" max="7" width="17" style="3" customWidth="1"/>
    <col min="8" max="8" width="19.140625" style="3" customWidth="1"/>
    <col min="9" max="9" width="18.28515625" style="5" customWidth="1"/>
    <col min="10" max="10" width="17.28515625" style="3" customWidth="1"/>
    <col min="11" max="11" width="12.140625" style="3" customWidth="1"/>
    <col min="12" max="12" width="8.7109375" style="3" customWidth="1"/>
    <col min="13" max="13" width="1.85546875" style="3" customWidth="1"/>
    <col min="14" max="14" width="15.5703125" style="3" customWidth="1"/>
    <col min="15" max="15" width="4.140625" style="3" customWidth="1"/>
    <col min="16" max="16" width="1.85546875" style="3" customWidth="1"/>
    <col min="17" max="17" width="12.140625" style="3"/>
    <col min="18" max="18" width="1.85546875" style="3" customWidth="1"/>
    <col min="19" max="20" width="17.85546875" style="3" customWidth="1"/>
    <col min="21" max="16384" width="12.140625" style="3"/>
  </cols>
  <sheetData>
    <row r="1" spans="1:24" x14ac:dyDescent="0.2">
      <c r="E1" s="4"/>
    </row>
    <row r="2" spans="1:24" x14ac:dyDescent="0.2">
      <c r="A2" s="4"/>
    </row>
    <row r="3" spans="1:24" x14ac:dyDescent="0.2">
      <c r="A3" s="4"/>
      <c r="E3" s="4"/>
      <c r="I3" s="6"/>
      <c r="U3" s="7"/>
      <c r="V3" s="7"/>
      <c r="W3" s="7"/>
      <c r="X3" s="8"/>
    </row>
    <row r="4" spans="1:24" x14ac:dyDescent="0.2">
      <c r="A4" s="4"/>
      <c r="N4" s="9"/>
      <c r="O4" s="9"/>
      <c r="W4" s="9"/>
    </row>
    <row r="5" spans="1:24" x14ac:dyDescent="0.2">
      <c r="A5" s="4"/>
      <c r="N5" s="9"/>
      <c r="O5" s="9"/>
    </row>
    <row r="6" spans="1:24" x14ac:dyDescent="0.2">
      <c r="A6" s="4"/>
      <c r="N6" s="9"/>
      <c r="O6" s="9"/>
    </row>
    <row r="8" spans="1:24" x14ac:dyDescent="0.2">
      <c r="B8" s="10" t="s">
        <v>78</v>
      </c>
      <c r="C8" s="11"/>
      <c r="D8" s="11"/>
      <c r="E8" s="11"/>
      <c r="F8" s="11"/>
      <c r="G8" s="11"/>
      <c r="H8" s="12"/>
    </row>
    <row r="9" spans="1:24" x14ac:dyDescent="0.2">
      <c r="B9" s="13"/>
      <c r="C9" s="14"/>
      <c r="D9" s="14"/>
      <c r="E9" s="14"/>
      <c r="F9" s="14"/>
      <c r="G9" s="14"/>
      <c r="H9" s="15"/>
      <c r="L9" s="8"/>
    </row>
    <row r="10" spans="1:24" ht="15" x14ac:dyDescent="0.2">
      <c r="B10" s="167" t="s">
        <v>444</v>
      </c>
      <c r="C10" s="14"/>
      <c r="D10" s="14"/>
      <c r="E10" s="14"/>
      <c r="F10" s="14"/>
      <c r="G10" s="14"/>
      <c r="H10" s="15"/>
      <c r="L10" s="8"/>
    </row>
    <row r="11" spans="1:24" x14ac:dyDescent="0.2">
      <c r="B11" s="13" t="s">
        <v>104</v>
      </c>
      <c r="C11" s="14"/>
      <c r="D11" s="14"/>
      <c r="E11" s="14"/>
      <c r="F11" s="14"/>
      <c r="G11" s="14"/>
      <c r="H11" s="15"/>
      <c r="L11" s="8"/>
    </row>
    <row r="12" spans="1:24" x14ac:dyDescent="0.2">
      <c r="B12" s="16" t="s">
        <v>30</v>
      </c>
      <c r="C12" s="17"/>
      <c r="D12" s="17"/>
      <c r="E12" s="17"/>
      <c r="F12" s="17"/>
      <c r="G12" s="17"/>
      <c r="H12" s="18"/>
      <c r="L12" s="8"/>
    </row>
    <row r="13" spans="1:24" s="1" customFormat="1" x14ac:dyDescent="0.2">
      <c r="B13" s="31"/>
      <c r="C13" s="30"/>
      <c r="D13" s="31"/>
      <c r="E13" s="31"/>
      <c r="F13" s="28"/>
      <c r="G13" s="28"/>
      <c r="H13" s="28"/>
      <c r="I13" s="32"/>
    </row>
    <row r="14" spans="1:24" x14ac:dyDescent="0.2">
      <c r="B14" s="39"/>
      <c r="C14" s="40"/>
      <c r="D14" s="41" t="s">
        <v>79</v>
      </c>
      <c r="E14" s="42" t="s">
        <v>19</v>
      </c>
      <c r="F14" s="43"/>
      <c r="G14" s="117"/>
      <c r="H14" s="44"/>
    </row>
    <row r="15" spans="1:24" x14ac:dyDescent="0.2">
      <c r="B15" s="45" t="s">
        <v>80</v>
      </c>
      <c r="C15" s="46" t="s">
        <v>81</v>
      </c>
      <c r="D15" s="47" t="s">
        <v>82</v>
      </c>
      <c r="E15" s="48">
        <v>0</v>
      </c>
      <c r="F15" s="49">
        <v>1</v>
      </c>
      <c r="G15" s="49">
        <v>2</v>
      </c>
      <c r="H15" s="50">
        <v>3</v>
      </c>
    </row>
    <row r="16" spans="1:24" x14ac:dyDescent="0.2">
      <c r="B16" s="51"/>
      <c r="C16" s="52"/>
      <c r="D16" s="52" t="s">
        <v>0</v>
      </c>
      <c r="E16" s="53" t="s">
        <v>83</v>
      </c>
      <c r="F16" s="54"/>
      <c r="G16" s="118"/>
      <c r="H16" s="55"/>
    </row>
    <row r="17" spans="1:9" x14ac:dyDescent="0.2">
      <c r="A17" s="7"/>
      <c r="B17" s="56"/>
      <c r="C17" s="57"/>
      <c r="D17" s="58"/>
      <c r="E17" s="59"/>
      <c r="F17" s="60"/>
      <c r="G17" s="119"/>
      <c r="H17" s="61"/>
      <c r="I17" s="6"/>
    </row>
    <row r="18" spans="1:9" x14ac:dyDescent="0.2">
      <c r="A18" s="7"/>
      <c r="B18" s="62">
        <f>+'PPTO ESTUDIO TV'!BL10</f>
        <v>1</v>
      </c>
      <c r="C18" s="63" t="str">
        <f>+'PPTO ESTUDIO TV'!BM10</f>
        <v>TRABAJOS PREPARATORIOS</v>
      </c>
      <c r="D18" s="64">
        <f>+'PPTO ESTUDIO TV'!BN10</f>
        <v>452975.5169137771</v>
      </c>
      <c r="E18" s="65">
        <f>+'PPTO ESTUDIO TV'!BO10</f>
        <v>1.4978124905493579E-3</v>
      </c>
      <c r="F18" s="36">
        <v>1</v>
      </c>
      <c r="G18" s="120"/>
      <c r="H18" s="66"/>
      <c r="I18" s="33">
        <f>SUM(F18:H18)</f>
        <v>1</v>
      </c>
    </row>
    <row r="19" spans="1:9" x14ac:dyDescent="0.2">
      <c r="A19" s="7"/>
      <c r="B19" s="62">
        <f>+'PPTO ESTUDIO TV'!BL11</f>
        <v>2</v>
      </c>
      <c r="C19" s="63" t="str">
        <f>+'PPTO ESTUDIO TV'!BM11</f>
        <v>DEMOLICIONES</v>
      </c>
      <c r="D19" s="64">
        <f>+'PPTO ESTUDIO TV'!BN11</f>
        <v>622029.59263881168</v>
      </c>
      <c r="E19" s="65">
        <f>+'PPTO ESTUDIO TV'!BO11</f>
        <v>2.0568080581783075E-3</v>
      </c>
      <c r="F19" s="36">
        <v>0.95</v>
      </c>
      <c r="G19" s="120">
        <v>0.05</v>
      </c>
      <c r="H19" s="66">
        <v>0</v>
      </c>
      <c r="I19" s="33">
        <f>SUM(F19:H19)</f>
        <v>1</v>
      </c>
    </row>
    <row r="20" spans="1:9" x14ac:dyDescent="0.2">
      <c r="A20" s="7"/>
      <c r="B20" s="62">
        <f>+'PPTO ESTUDIO TV'!BL12</f>
        <v>3</v>
      </c>
      <c r="C20" s="63" t="str">
        <f>+'PPTO ESTUDIO TV'!BM12</f>
        <v>MOVIMIENTO DE SUELO</v>
      </c>
      <c r="D20" s="64">
        <f>+'PPTO ESTUDIO TV'!BN12</f>
        <v>113182.6325359015</v>
      </c>
      <c r="E20" s="65">
        <f>+'PPTO ESTUDIO TV'!BO12</f>
        <v>3.7425060383075934E-4</v>
      </c>
      <c r="F20" s="36">
        <v>0.95</v>
      </c>
      <c r="G20" s="120">
        <v>0.05</v>
      </c>
      <c r="H20" s="66">
        <v>0</v>
      </c>
      <c r="I20" s="33">
        <f t="shared" ref="I20:I35" si="0">SUM(F20:H20)</f>
        <v>1</v>
      </c>
    </row>
    <row r="21" spans="1:9" x14ac:dyDescent="0.2">
      <c r="A21" s="7"/>
      <c r="B21" s="62">
        <f>+'PPTO ESTUDIO TV'!BL13</f>
        <v>4</v>
      </c>
      <c r="C21" s="63" t="str">
        <f>+'PPTO ESTUDIO TV'!BM13</f>
        <v>ESTRUCTURA RESISTENTE</v>
      </c>
      <c r="D21" s="64">
        <f>+'PPTO ESTUDIO TV'!BN13</f>
        <v>21249055.851561468</v>
      </c>
      <c r="E21" s="65">
        <f>+'PPTO ESTUDIO TV'!BO13</f>
        <v>7.0262299127544031E-2</v>
      </c>
      <c r="F21" s="36">
        <v>0.95</v>
      </c>
      <c r="G21" s="120">
        <v>0.05</v>
      </c>
      <c r="H21" s="66">
        <v>0</v>
      </c>
      <c r="I21" s="33">
        <f t="shared" si="0"/>
        <v>1</v>
      </c>
    </row>
    <row r="22" spans="1:9" x14ac:dyDescent="0.2">
      <c r="A22" s="7"/>
      <c r="B22" s="62">
        <f>+'PPTO ESTUDIO TV'!BL14</f>
        <v>5</v>
      </c>
      <c r="C22" s="63" t="str">
        <f>+'PPTO ESTUDIO TV'!BM14</f>
        <v>MAMPOSTERIA</v>
      </c>
      <c r="D22" s="64">
        <f>+'PPTO ESTUDIO TV'!BN14</f>
        <v>2318511.5889141643</v>
      </c>
      <c r="E22" s="65">
        <f>+'PPTO ESTUDIO TV'!BO14</f>
        <v>7.6664090832531543E-3</v>
      </c>
      <c r="F22" s="36">
        <v>0.75</v>
      </c>
      <c r="G22" s="120">
        <v>0.25</v>
      </c>
      <c r="H22" s="66">
        <v>0</v>
      </c>
      <c r="I22" s="33">
        <f t="shared" si="0"/>
        <v>1</v>
      </c>
    </row>
    <row r="23" spans="1:9" x14ac:dyDescent="0.2">
      <c r="A23" s="7"/>
      <c r="B23" s="62">
        <f>+'PPTO ESTUDIO TV'!BL15</f>
        <v>6</v>
      </c>
      <c r="C23" s="63" t="str">
        <f>+'PPTO ESTUDIO TV'!BM15</f>
        <v>AISLACION</v>
      </c>
      <c r="D23" s="64">
        <f>+'PPTO ESTUDIO TV'!BN15</f>
        <v>2548671.9879299253</v>
      </c>
      <c r="E23" s="65">
        <f>+'PPTO ESTUDIO TV'!BO15</f>
        <v>8.4274593113634975E-3</v>
      </c>
      <c r="F23" s="36">
        <v>0.2</v>
      </c>
      <c r="G23" s="120">
        <v>0.5</v>
      </c>
      <c r="H23" s="66">
        <v>0.3</v>
      </c>
      <c r="I23" s="33">
        <f t="shared" si="0"/>
        <v>1</v>
      </c>
    </row>
    <row r="24" spans="1:9" x14ac:dyDescent="0.2">
      <c r="A24" s="7"/>
      <c r="B24" s="62">
        <f>+'PPTO ESTUDIO TV'!BL16</f>
        <v>7</v>
      </c>
      <c r="C24" s="63" t="str">
        <f>+'PPTO ESTUDIO TV'!BM16</f>
        <v>REVOQUE</v>
      </c>
      <c r="D24" s="64">
        <f>+'PPTO ESTUDIO TV'!BN16</f>
        <v>2406120.7360850661</v>
      </c>
      <c r="E24" s="65">
        <f>+'PPTO ESTUDIO TV'!BO16</f>
        <v>7.9560981945168245E-3</v>
      </c>
      <c r="F24" s="36">
        <v>0.2</v>
      </c>
      <c r="G24" s="120">
        <v>0.5</v>
      </c>
      <c r="H24" s="66">
        <v>0.3</v>
      </c>
      <c r="I24" s="33">
        <f t="shared" si="0"/>
        <v>1</v>
      </c>
    </row>
    <row r="25" spans="1:9" x14ac:dyDescent="0.2">
      <c r="A25" s="7"/>
      <c r="B25" s="62">
        <f>+'PPTO ESTUDIO TV'!BL17</f>
        <v>8</v>
      </c>
      <c r="C25" s="63" t="str">
        <f>+'PPTO ESTUDIO TV'!BM17</f>
        <v>REVESTIMIENTO</v>
      </c>
      <c r="D25" s="64">
        <f>+'PPTO ESTUDIO TV'!BN17</f>
        <v>34097.032403648504</v>
      </c>
      <c r="E25" s="65">
        <f>+'PPTO ESTUDIO TV'!BO17</f>
        <v>1.1274552181718062E-4</v>
      </c>
      <c r="F25" s="36"/>
      <c r="G25" s="120">
        <v>0.65</v>
      </c>
      <c r="H25" s="66">
        <v>0.35</v>
      </c>
      <c r="I25" s="33">
        <f t="shared" si="0"/>
        <v>1</v>
      </c>
    </row>
    <row r="26" spans="1:9" x14ac:dyDescent="0.2">
      <c r="A26" s="7"/>
      <c r="B26" s="62">
        <f>+'PPTO ESTUDIO TV'!BL18</f>
        <v>9</v>
      </c>
      <c r="C26" s="63" t="str">
        <f>+'PPTO ESTUDIO TV'!BM18</f>
        <v>CUBIERTA DE CHº Gº</v>
      </c>
      <c r="D26" s="64">
        <f>+'PPTO ESTUDIO TV'!BN18</f>
        <v>1304592.924688268</v>
      </c>
      <c r="E26" s="65">
        <f>+'PPTO ESTUDIO TV'!BO18</f>
        <v>4.3137774663709961E-3</v>
      </c>
      <c r="F26" s="36"/>
      <c r="G26" s="120">
        <v>0.7</v>
      </c>
      <c r="H26" s="66">
        <v>0.3</v>
      </c>
      <c r="I26" s="33">
        <f t="shared" si="0"/>
        <v>1</v>
      </c>
    </row>
    <row r="27" spans="1:9" x14ac:dyDescent="0.2">
      <c r="A27" s="7"/>
      <c r="B27" s="62">
        <f>+'PPTO ESTUDIO TV'!BL19</f>
        <v>10</v>
      </c>
      <c r="C27" s="63" t="str">
        <f>+'PPTO ESTUDIO TV'!BM19</f>
        <v xml:space="preserve">TABIQUE DE PLACAS DE YESO </v>
      </c>
      <c r="D27" s="64">
        <f>+'PPTO ESTUDIO TV'!BN19</f>
        <v>21201330.5601082</v>
      </c>
      <c r="E27" s="65">
        <f>+'PPTO ESTUDIO TV'!BO19</f>
        <v>7.0104490294649824E-2</v>
      </c>
      <c r="F27" s="36"/>
      <c r="G27" s="120">
        <v>0.6</v>
      </c>
      <c r="H27" s="66">
        <v>0.4</v>
      </c>
      <c r="I27" s="33">
        <f t="shared" si="0"/>
        <v>1</v>
      </c>
    </row>
    <row r="28" spans="1:9" x14ac:dyDescent="0.2">
      <c r="A28" s="7"/>
      <c r="B28" s="62">
        <f>+'PPTO ESTUDIO TV'!BL20</f>
        <v>11</v>
      </c>
      <c r="C28" s="63" t="str">
        <f>+'PPTO ESTUDIO TV'!BM20</f>
        <v>CIELORRASO</v>
      </c>
      <c r="D28" s="64">
        <f>+'PPTO ESTUDIO TV'!BN20</f>
        <v>7141716.0045390464</v>
      </c>
      <c r="E28" s="65">
        <f>+'PPTO ESTUDIO TV'!BO20</f>
        <v>2.3614855629362812E-2</v>
      </c>
      <c r="F28" s="36"/>
      <c r="G28" s="120">
        <v>0.6</v>
      </c>
      <c r="H28" s="66">
        <v>0.4</v>
      </c>
      <c r="I28" s="33">
        <f t="shared" si="0"/>
        <v>1</v>
      </c>
    </row>
    <row r="29" spans="1:9" x14ac:dyDescent="0.2">
      <c r="A29" s="7"/>
      <c r="B29" s="62">
        <f>+'PPTO ESTUDIO TV'!BL21</f>
        <v>12</v>
      </c>
      <c r="C29" s="63" t="str">
        <f>+'PPTO ESTUDIO TV'!BM21</f>
        <v>SOLADO Y ZOCALO</v>
      </c>
      <c r="D29" s="64">
        <f>+'PPTO ESTUDIO TV'!BN21</f>
        <v>10821113.641114421</v>
      </c>
      <c r="E29" s="65">
        <f>+'PPTO ESTUDIO TV'!BO21</f>
        <v>3.5781181472552694E-2</v>
      </c>
      <c r="F29" s="36"/>
      <c r="G29" s="120">
        <v>0.65</v>
      </c>
      <c r="H29" s="66">
        <v>0.35</v>
      </c>
      <c r="I29" s="33">
        <f t="shared" si="0"/>
        <v>1</v>
      </c>
    </row>
    <row r="30" spans="1:9" x14ac:dyDescent="0.2">
      <c r="A30" s="7"/>
      <c r="B30" s="62">
        <f>+'PPTO ESTUDIO TV'!BL22</f>
        <v>13</v>
      </c>
      <c r="C30" s="63" t="str">
        <f>+'PPTO ESTUDIO TV'!BM22</f>
        <v>CARPINTERIA</v>
      </c>
      <c r="D30" s="64">
        <f>+'PPTO ESTUDIO TV'!BN22</f>
        <v>22023711.16918895</v>
      </c>
      <c r="E30" s="65">
        <f>+'PPTO ESTUDIO TV'!BO22</f>
        <v>7.2823780636562946E-2</v>
      </c>
      <c r="F30" s="36"/>
      <c r="G30" s="120">
        <v>0.55000000000000004</v>
      </c>
      <c r="H30" s="66">
        <v>0.45</v>
      </c>
      <c r="I30" s="33">
        <f t="shared" si="0"/>
        <v>1</v>
      </c>
    </row>
    <row r="31" spans="1:9" x14ac:dyDescent="0.2">
      <c r="A31" s="7"/>
      <c r="B31" s="62">
        <f>+'PPTO ESTUDIO TV'!BL23</f>
        <v>14</v>
      </c>
      <c r="C31" s="63" t="str">
        <f>+'PPTO ESTUDIO TV'!BM23</f>
        <v>INSTALACION ELECTRICA</v>
      </c>
      <c r="D31" s="64">
        <f>+'PPTO ESTUDIO TV'!BN23</f>
        <v>131705238.48761137</v>
      </c>
      <c r="E31" s="65">
        <f>+'PPTO ESTUDIO TV'!BO23</f>
        <v>0.43549760177231872</v>
      </c>
      <c r="F31" s="36">
        <v>0.2</v>
      </c>
      <c r="G31" s="120">
        <v>0.4</v>
      </c>
      <c r="H31" s="66">
        <v>0.4</v>
      </c>
      <c r="I31" s="33">
        <f t="shared" si="0"/>
        <v>1</v>
      </c>
    </row>
    <row r="32" spans="1:9" x14ac:dyDescent="0.2">
      <c r="A32" s="7"/>
      <c r="B32" s="62">
        <f>+'PPTO ESTUDIO TV'!BL24</f>
        <v>15</v>
      </c>
      <c r="C32" s="63" t="str">
        <f>+'PPTO ESTUDIO TV'!BM24</f>
        <v>INSTALACIÓN ELECTROMECÁNICA</v>
      </c>
      <c r="D32" s="64">
        <f>+'PPTO ESTUDIO TV'!BN24</f>
        <v>22445776.928718861</v>
      </c>
      <c r="E32" s="65">
        <f>+'PPTO ESTUDIO TV'!BO24</f>
        <v>7.4219386674532178E-2</v>
      </c>
      <c r="F32" s="36"/>
      <c r="G32" s="120">
        <v>0.6</v>
      </c>
      <c r="H32" s="66">
        <v>0.4</v>
      </c>
      <c r="I32" s="33">
        <f t="shared" si="0"/>
        <v>1</v>
      </c>
    </row>
    <row r="33" spans="1:11" x14ac:dyDescent="0.2">
      <c r="A33" s="7"/>
      <c r="B33" s="62">
        <f>+'PPTO ESTUDIO TV'!BL25</f>
        <v>16</v>
      </c>
      <c r="C33" s="63" t="str">
        <f>+'PPTO ESTUDIO TV'!BM25</f>
        <v>AIRE ACONDICIONADO</v>
      </c>
      <c r="D33" s="64">
        <f>+'PPTO ESTUDIO TV'!BN25</f>
        <v>36155129.4117347</v>
      </c>
      <c r="E33" s="65">
        <f>+'PPTO ESTUDIO TV'!BO25</f>
        <v>0.11955084195120574</v>
      </c>
      <c r="F33" s="36">
        <v>0.2</v>
      </c>
      <c r="G33" s="120">
        <v>0.4</v>
      </c>
      <c r="H33" s="66">
        <v>0.4</v>
      </c>
      <c r="I33" s="33">
        <f t="shared" si="0"/>
        <v>1</v>
      </c>
    </row>
    <row r="34" spans="1:11" x14ac:dyDescent="0.2">
      <c r="A34" s="7"/>
      <c r="B34" s="62">
        <f>+'PPTO ESTUDIO TV'!BL26</f>
        <v>17</v>
      </c>
      <c r="C34" s="63" t="str">
        <f>+'PPTO ESTUDIO TV'!BM26</f>
        <v>PINTURA</v>
      </c>
      <c r="D34" s="64">
        <f>+'PPTO ESTUDIO TV'!BN26</f>
        <v>7335522.6263710111</v>
      </c>
      <c r="E34" s="65">
        <f>+'PPTO ESTUDIO TV'!BO26</f>
        <v>2.4255698165199794E-2</v>
      </c>
      <c r="F34" s="36"/>
      <c r="G34" s="120">
        <v>0.5</v>
      </c>
      <c r="H34" s="66">
        <v>0.5</v>
      </c>
      <c r="I34" s="33">
        <f t="shared" si="0"/>
        <v>1</v>
      </c>
    </row>
    <row r="35" spans="1:11" x14ac:dyDescent="0.2">
      <c r="A35" s="7"/>
      <c r="B35" s="62">
        <f>+'PPTO ESTUDIO TV'!BL27</f>
        <v>18</v>
      </c>
      <c r="C35" s="63" t="str">
        <f>+'PPTO ESTUDIO TV'!BM27</f>
        <v>VARIOS</v>
      </c>
      <c r="D35" s="64">
        <f>+'PPTO ESTUDIO TV'!BN27</f>
        <v>12545939.198874725</v>
      </c>
      <c r="E35" s="65">
        <f>+'PPTO ESTUDIO TV'!BO27</f>
        <v>4.1484503546191175E-2</v>
      </c>
      <c r="F35" s="36">
        <v>0.3</v>
      </c>
      <c r="G35" s="120">
        <v>0.3</v>
      </c>
      <c r="H35" s="66">
        <v>0.4</v>
      </c>
      <c r="I35" s="33">
        <f t="shared" si="0"/>
        <v>1</v>
      </c>
    </row>
    <row r="36" spans="1:11" x14ac:dyDescent="0.2">
      <c r="A36" s="7"/>
      <c r="B36" s="62"/>
      <c r="C36" s="63">
        <f>+'PPTO ESTUDIO TV'!BM28</f>
        <v>0</v>
      </c>
      <c r="D36" s="64"/>
      <c r="E36" s="65"/>
      <c r="F36" s="36"/>
      <c r="G36" s="120"/>
      <c r="H36" s="66"/>
      <c r="I36" s="33">
        <f t="shared" ref="I36" si="1">SUM(F36:H36)</f>
        <v>0</v>
      </c>
    </row>
    <row r="37" spans="1:11" x14ac:dyDescent="0.2">
      <c r="A37" s="7"/>
      <c r="B37" s="62"/>
      <c r="C37" s="67"/>
      <c r="D37" s="64"/>
      <c r="E37" s="65"/>
      <c r="F37" s="36"/>
      <c r="G37" s="120"/>
      <c r="H37" s="66"/>
      <c r="I37" s="33"/>
    </row>
    <row r="38" spans="1:11" x14ac:dyDescent="0.2">
      <c r="A38" s="121">
        <f>+'PPTO ESTUDIO TV'!K128</f>
        <v>302424715.89193231</v>
      </c>
      <c r="B38" s="68"/>
      <c r="C38" s="69" t="s">
        <v>84</v>
      </c>
      <c r="D38" s="70">
        <f>SUM(D17:D37)</f>
        <v>302424715.89193231</v>
      </c>
      <c r="E38" s="71">
        <f>SUM(E17:E37)</f>
        <v>0.99999999999999989</v>
      </c>
      <c r="F38" s="72"/>
      <c r="G38" s="73"/>
      <c r="H38" s="73"/>
    </row>
    <row r="39" spans="1:11" x14ac:dyDescent="0.2">
      <c r="A39" s="122"/>
      <c r="B39" s="35"/>
      <c r="C39" s="35"/>
      <c r="D39" s="35"/>
      <c r="E39" s="35"/>
      <c r="F39" s="35"/>
      <c r="G39" s="35"/>
      <c r="H39" s="35"/>
    </row>
    <row r="40" spans="1:11" s="19" customFormat="1" x14ac:dyDescent="0.2">
      <c r="B40" s="74" t="str">
        <f>B8</f>
        <v xml:space="preserve">P L A N     D E     T R A B A J O S     Y     D E     I N V E R S I O N E S   </v>
      </c>
      <c r="C40" s="75"/>
      <c r="D40" s="75"/>
      <c r="E40" s="75"/>
      <c r="F40" s="75"/>
      <c r="G40" s="75"/>
      <c r="H40" s="76"/>
      <c r="I40" s="2"/>
    </row>
    <row r="41" spans="1:11" s="27" customFormat="1" x14ac:dyDescent="0.2">
      <c r="B41" s="77">
        <f>B9</f>
        <v>0</v>
      </c>
      <c r="C41" s="78"/>
      <c r="D41" s="78"/>
      <c r="E41" s="78"/>
      <c r="F41" s="78"/>
      <c r="G41" s="78"/>
      <c r="H41" s="79"/>
      <c r="I41" s="26"/>
    </row>
    <row r="42" spans="1:11" s="27" customFormat="1" x14ac:dyDescent="0.2">
      <c r="B42" s="77" t="str">
        <f>B10</f>
        <v>ESTUDIO TV</v>
      </c>
      <c r="C42" s="78"/>
      <c r="D42" s="78"/>
      <c r="E42" s="78"/>
      <c r="F42" s="78"/>
      <c r="G42" s="78"/>
      <c r="H42" s="79"/>
      <c r="I42" s="26"/>
    </row>
    <row r="43" spans="1:11" s="27" customFormat="1" x14ac:dyDescent="0.2">
      <c r="B43" s="77" t="str">
        <f>B11</f>
        <v xml:space="preserve">LOCALIDAD: RESISTENCIA </v>
      </c>
      <c r="C43" s="78"/>
      <c r="D43" s="78"/>
      <c r="E43" s="78"/>
      <c r="F43" s="78"/>
      <c r="G43" s="78"/>
      <c r="H43" s="79"/>
      <c r="I43" s="26"/>
    </row>
    <row r="44" spans="1:11" s="27" customFormat="1" x14ac:dyDescent="0.2">
      <c r="B44" s="80" t="str">
        <f>B12</f>
        <v>EMPRESA: I.L.A.G. CONSTRUCCIONES</v>
      </c>
      <c r="C44" s="81"/>
      <c r="D44" s="81"/>
      <c r="E44" s="81"/>
      <c r="F44" s="81"/>
      <c r="G44" s="81"/>
      <c r="H44" s="82"/>
      <c r="I44" s="26"/>
    </row>
    <row r="45" spans="1:11" s="1" customFormat="1" x14ac:dyDescent="0.2">
      <c r="B45" s="83"/>
      <c r="C45" s="84"/>
      <c r="D45" s="83"/>
      <c r="E45" s="83"/>
      <c r="F45" s="85"/>
      <c r="G45" s="85"/>
      <c r="H45" s="85"/>
      <c r="I45" s="32"/>
    </row>
    <row r="46" spans="1:11" s="27" customFormat="1" x14ac:dyDescent="0.2">
      <c r="B46" s="39"/>
      <c r="C46" s="40"/>
      <c r="D46" s="41"/>
      <c r="E46" s="42" t="s">
        <v>19</v>
      </c>
      <c r="F46" s="43"/>
      <c r="G46" s="117"/>
      <c r="H46" s="44"/>
      <c r="I46" s="26"/>
      <c r="K46" s="29"/>
    </row>
    <row r="47" spans="1:11" s="27" customFormat="1" x14ac:dyDescent="0.2">
      <c r="B47" s="45" t="s">
        <v>80</v>
      </c>
      <c r="C47" s="46" t="s">
        <v>81</v>
      </c>
      <c r="D47" s="47"/>
      <c r="E47" s="48">
        <v>0</v>
      </c>
      <c r="F47" s="49">
        <f>+F15</f>
        <v>1</v>
      </c>
      <c r="G47" s="49">
        <f>+G15</f>
        <v>2</v>
      </c>
      <c r="H47" s="50">
        <f>+H15</f>
        <v>3</v>
      </c>
      <c r="I47" s="26"/>
      <c r="K47" s="29"/>
    </row>
    <row r="48" spans="1:11" s="27" customFormat="1" x14ac:dyDescent="0.2">
      <c r="B48" s="51"/>
      <c r="C48" s="52"/>
      <c r="D48" s="52"/>
      <c r="E48" s="53" t="s">
        <v>83</v>
      </c>
      <c r="F48" s="54"/>
      <c r="G48" s="118"/>
      <c r="H48" s="55"/>
      <c r="I48" s="26"/>
      <c r="K48" s="29"/>
    </row>
    <row r="49" spans="2:11" s="21" customFormat="1" x14ac:dyDescent="0.2">
      <c r="B49" s="86"/>
      <c r="C49" s="87"/>
      <c r="D49" s="88"/>
      <c r="E49" s="89"/>
      <c r="F49" s="60"/>
      <c r="G49" s="119"/>
      <c r="H49" s="61"/>
    </row>
    <row r="50" spans="2:11" s="19" customFormat="1" x14ac:dyDescent="0.2">
      <c r="B50" s="90"/>
      <c r="C50" s="91"/>
      <c r="D50" s="92"/>
      <c r="E50" s="93"/>
      <c r="F50" s="36"/>
      <c r="G50" s="120"/>
      <c r="H50" s="66"/>
      <c r="I50" s="22"/>
      <c r="J50" s="23"/>
      <c r="K50" s="20"/>
    </row>
    <row r="51" spans="2:11" s="19" customFormat="1" x14ac:dyDescent="0.2">
      <c r="B51" s="90">
        <f>B18</f>
        <v>1</v>
      </c>
      <c r="C51" s="91" t="str">
        <f>C18</f>
        <v>TRABAJOS PREPARATORIOS</v>
      </c>
      <c r="D51" s="92">
        <f>+D18</f>
        <v>452975.5169137771</v>
      </c>
      <c r="E51" s="93">
        <f>+E18</f>
        <v>1.4978124905493579E-3</v>
      </c>
      <c r="F51" s="123">
        <f>F18*$E51</f>
        <v>1.4978124905493579E-3</v>
      </c>
      <c r="G51" s="123">
        <f t="shared" ref="G51:H51" si="2">G18*$E51</f>
        <v>0</v>
      </c>
      <c r="H51" s="123">
        <f t="shared" si="2"/>
        <v>0</v>
      </c>
      <c r="I51" s="22">
        <f t="shared" ref="I51:I68" si="3">SUM(F51:H51)-E51</f>
        <v>0</v>
      </c>
      <c r="J51" s="23"/>
      <c r="K51" s="20"/>
    </row>
    <row r="52" spans="2:11" s="19" customFormat="1" x14ac:dyDescent="0.2">
      <c r="B52" s="90">
        <f t="shared" ref="B52:C70" si="4">B19</f>
        <v>2</v>
      </c>
      <c r="C52" s="91" t="str">
        <f t="shared" si="4"/>
        <v>DEMOLICIONES</v>
      </c>
      <c r="D52" s="92">
        <f t="shared" ref="D52:E68" si="5">+D19</f>
        <v>622029.59263881168</v>
      </c>
      <c r="E52" s="93">
        <f t="shared" si="5"/>
        <v>2.0568080581783075E-3</v>
      </c>
      <c r="F52" s="123">
        <f t="shared" ref="F52:H52" si="6">F19*$E52</f>
        <v>1.9539676552693922E-3</v>
      </c>
      <c r="G52" s="123">
        <f t="shared" si="6"/>
        <v>1.0284040290891538E-4</v>
      </c>
      <c r="H52" s="123">
        <f t="shared" si="6"/>
        <v>0</v>
      </c>
      <c r="I52" s="22">
        <f t="shared" si="3"/>
        <v>0</v>
      </c>
      <c r="J52" s="23"/>
      <c r="K52" s="20"/>
    </row>
    <row r="53" spans="2:11" s="19" customFormat="1" x14ac:dyDescent="0.2">
      <c r="B53" s="90">
        <f t="shared" si="4"/>
        <v>3</v>
      </c>
      <c r="C53" s="91" t="str">
        <f t="shared" si="4"/>
        <v>MOVIMIENTO DE SUELO</v>
      </c>
      <c r="D53" s="92">
        <f t="shared" si="5"/>
        <v>113182.6325359015</v>
      </c>
      <c r="E53" s="93">
        <f t="shared" si="5"/>
        <v>3.7425060383075934E-4</v>
      </c>
      <c r="F53" s="123">
        <f t="shared" ref="F53:H53" si="7">F20*$E53</f>
        <v>3.5553807363922137E-4</v>
      </c>
      <c r="G53" s="123">
        <f t="shared" si="7"/>
        <v>1.8712530191537967E-5</v>
      </c>
      <c r="H53" s="123">
        <f t="shared" si="7"/>
        <v>0</v>
      </c>
      <c r="I53" s="22">
        <f t="shared" si="3"/>
        <v>0</v>
      </c>
      <c r="J53" s="23"/>
      <c r="K53" s="20"/>
    </row>
    <row r="54" spans="2:11" s="19" customFormat="1" x14ac:dyDescent="0.2">
      <c r="B54" s="90">
        <f t="shared" si="4"/>
        <v>4</v>
      </c>
      <c r="C54" s="91" t="str">
        <f t="shared" si="4"/>
        <v>ESTRUCTURA RESISTENTE</v>
      </c>
      <c r="D54" s="92">
        <f t="shared" si="5"/>
        <v>21249055.851561468</v>
      </c>
      <c r="E54" s="93">
        <f t="shared" si="5"/>
        <v>7.0262299127544031E-2</v>
      </c>
      <c r="F54" s="123">
        <f t="shared" ref="F54:H54" si="8">F21*$E54</f>
        <v>6.674918417116682E-2</v>
      </c>
      <c r="G54" s="123">
        <f t="shared" si="8"/>
        <v>3.5131149563772017E-3</v>
      </c>
      <c r="H54" s="123">
        <f t="shared" si="8"/>
        <v>0</v>
      </c>
      <c r="I54" s="22">
        <f t="shared" si="3"/>
        <v>0</v>
      </c>
      <c r="J54" s="23"/>
      <c r="K54" s="20"/>
    </row>
    <row r="55" spans="2:11" s="19" customFormat="1" x14ac:dyDescent="0.2">
      <c r="B55" s="90">
        <f t="shared" si="4"/>
        <v>5</v>
      </c>
      <c r="C55" s="91" t="str">
        <f t="shared" si="4"/>
        <v>MAMPOSTERIA</v>
      </c>
      <c r="D55" s="92">
        <f t="shared" si="5"/>
        <v>2318511.5889141643</v>
      </c>
      <c r="E55" s="93">
        <f t="shared" si="5"/>
        <v>7.6664090832531543E-3</v>
      </c>
      <c r="F55" s="123">
        <f t="shared" ref="F55:H55" si="9">F22*$E55</f>
        <v>5.7498068124398659E-3</v>
      </c>
      <c r="G55" s="123">
        <f t="shared" si="9"/>
        <v>1.9166022708132886E-3</v>
      </c>
      <c r="H55" s="123">
        <f t="shared" si="9"/>
        <v>0</v>
      </c>
      <c r="I55" s="22">
        <f t="shared" si="3"/>
        <v>0</v>
      </c>
      <c r="J55" s="23"/>
      <c r="K55" s="20"/>
    </row>
    <row r="56" spans="2:11" s="19" customFormat="1" x14ac:dyDescent="0.2">
      <c r="B56" s="90">
        <f t="shared" si="4"/>
        <v>6</v>
      </c>
      <c r="C56" s="91" t="str">
        <f t="shared" si="4"/>
        <v>AISLACION</v>
      </c>
      <c r="D56" s="92">
        <f t="shared" si="5"/>
        <v>2548671.9879299253</v>
      </c>
      <c r="E56" s="93">
        <f t="shared" si="5"/>
        <v>8.4274593113634975E-3</v>
      </c>
      <c r="F56" s="123">
        <f t="shared" ref="F56:H56" si="10">F23*$E56</f>
        <v>1.6854918622726995E-3</v>
      </c>
      <c r="G56" s="123">
        <f t="shared" si="10"/>
        <v>4.2137296556817487E-3</v>
      </c>
      <c r="H56" s="123">
        <f t="shared" si="10"/>
        <v>2.528237793409049E-3</v>
      </c>
      <c r="I56" s="22">
        <f t="shared" si="3"/>
        <v>0</v>
      </c>
      <c r="J56" s="23"/>
      <c r="K56" s="20"/>
    </row>
    <row r="57" spans="2:11" s="19" customFormat="1" x14ac:dyDescent="0.2">
      <c r="B57" s="90">
        <f t="shared" si="4"/>
        <v>7</v>
      </c>
      <c r="C57" s="91" t="str">
        <f t="shared" si="4"/>
        <v>REVOQUE</v>
      </c>
      <c r="D57" s="92">
        <f t="shared" si="5"/>
        <v>2406120.7360850661</v>
      </c>
      <c r="E57" s="93">
        <f t="shared" si="5"/>
        <v>7.9560981945168245E-3</v>
      </c>
      <c r="F57" s="123">
        <f t="shared" ref="F57:H57" si="11">F24*$E57</f>
        <v>1.5912196389033649E-3</v>
      </c>
      <c r="G57" s="123">
        <f t="shared" si="11"/>
        <v>3.9780490972584123E-3</v>
      </c>
      <c r="H57" s="123">
        <f t="shared" si="11"/>
        <v>2.3868294583550471E-3</v>
      </c>
      <c r="I57" s="22">
        <f t="shared" si="3"/>
        <v>0</v>
      </c>
      <c r="J57" s="23"/>
      <c r="K57" s="20"/>
    </row>
    <row r="58" spans="2:11" s="19" customFormat="1" x14ac:dyDescent="0.2">
      <c r="B58" s="90">
        <f t="shared" si="4"/>
        <v>8</v>
      </c>
      <c r="C58" s="91" t="str">
        <f t="shared" si="4"/>
        <v>REVESTIMIENTO</v>
      </c>
      <c r="D58" s="92">
        <f t="shared" si="5"/>
        <v>34097.032403648504</v>
      </c>
      <c r="E58" s="93">
        <f t="shared" si="5"/>
        <v>1.1274552181718062E-4</v>
      </c>
      <c r="F58" s="123">
        <f t="shared" ref="F58:H58" si="12">F25*$E58</f>
        <v>0</v>
      </c>
      <c r="G58" s="123">
        <f t="shared" si="12"/>
        <v>7.3284589181167408E-5</v>
      </c>
      <c r="H58" s="123">
        <f t="shared" si="12"/>
        <v>3.9460932636013216E-5</v>
      </c>
      <c r="I58" s="22">
        <f t="shared" si="3"/>
        <v>0</v>
      </c>
      <c r="J58" s="23"/>
      <c r="K58" s="20"/>
    </row>
    <row r="59" spans="2:11" s="19" customFormat="1" x14ac:dyDescent="0.2">
      <c r="B59" s="90">
        <f t="shared" si="4"/>
        <v>9</v>
      </c>
      <c r="C59" s="91" t="str">
        <f t="shared" si="4"/>
        <v>CUBIERTA DE CHº Gº</v>
      </c>
      <c r="D59" s="92">
        <f t="shared" si="5"/>
        <v>1304592.924688268</v>
      </c>
      <c r="E59" s="93">
        <f t="shared" si="5"/>
        <v>4.3137774663709961E-3</v>
      </c>
      <c r="F59" s="123">
        <f t="shared" ref="F59:H59" si="13">F26*$E59</f>
        <v>0</v>
      </c>
      <c r="G59" s="123">
        <f t="shared" si="13"/>
        <v>3.0196442264596971E-3</v>
      </c>
      <c r="H59" s="123">
        <f t="shared" si="13"/>
        <v>1.2941332399112988E-3</v>
      </c>
      <c r="I59" s="22">
        <f t="shared" si="3"/>
        <v>0</v>
      </c>
      <c r="J59" s="23"/>
      <c r="K59" s="20"/>
    </row>
    <row r="60" spans="2:11" s="19" customFormat="1" x14ac:dyDescent="0.2">
      <c r="B60" s="90">
        <f t="shared" si="4"/>
        <v>10</v>
      </c>
      <c r="C60" s="91" t="str">
        <f t="shared" si="4"/>
        <v xml:space="preserve">TABIQUE DE PLACAS DE YESO </v>
      </c>
      <c r="D60" s="92">
        <f t="shared" si="5"/>
        <v>21201330.5601082</v>
      </c>
      <c r="E60" s="93">
        <f t="shared" si="5"/>
        <v>7.0104490294649824E-2</v>
      </c>
      <c r="F60" s="123">
        <f t="shared" ref="F60:H60" si="14">F27*$E60</f>
        <v>0</v>
      </c>
      <c r="G60" s="123">
        <f t="shared" si="14"/>
        <v>4.2062694176789893E-2</v>
      </c>
      <c r="H60" s="123">
        <f t="shared" si="14"/>
        <v>2.8041796117859931E-2</v>
      </c>
      <c r="I60" s="22">
        <f t="shared" si="3"/>
        <v>0</v>
      </c>
      <c r="J60" s="23"/>
      <c r="K60" s="20"/>
    </row>
    <row r="61" spans="2:11" s="19" customFormat="1" x14ac:dyDescent="0.2">
      <c r="B61" s="90">
        <f t="shared" si="4"/>
        <v>11</v>
      </c>
      <c r="C61" s="91" t="str">
        <f t="shared" si="4"/>
        <v>CIELORRASO</v>
      </c>
      <c r="D61" s="92">
        <f t="shared" si="5"/>
        <v>7141716.0045390464</v>
      </c>
      <c r="E61" s="93">
        <f t="shared" si="5"/>
        <v>2.3614855629362812E-2</v>
      </c>
      <c r="F61" s="123">
        <f t="shared" ref="F61:H61" si="15">F28*$E61</f>
        <v>0</v>
      </c>
      <c r="G61" s="123">
        <f t="shared" si="15"/>
        <v>1.4168913377617687E-2</v>
      </c>
      <c r="H61" s="123">
        <f t="shared" si="15"/>
        <v>9.4459422517451253E-3</v>
      </c>
      <c r="I61" s="22">
        <f t="shared" si="3"/>
        <v>0</v>
      </c>
      <c r="J61" s="23"/>
      <c r="K61" s="20"/>
    </row>
    <row r="62" spans="2:11" s="19" customFormat="1" x14ac:dyDescent="0.2">
      <c r="B62" s="90">
        <f t="shared" si="4"/>
        <v>12</v>
      </c>
      <c r="C62" s="91" t="str">
        <f t="shared" si="4"/>
        <v>SOLADO Y ZOCALO</v>
      </c>
      <c r="D62" s="92">
        <f t="shared" si="5"/>
        <v>10821113.641114421</v>
      </c>
      <c r="E62" s="93">
        <f t="shared" si="5"/>
        <v>3.5781181472552694E-2</v>
      </c>
      <c r="F62" s="123">
        <f t="shared" ref="F62:H62" si="16">F29*$E62</f>
        <v>0</v>
      </c>
      <c r="G62" s="123">
        <f t="shared" si="16"/>
        <v>2.3257767957159253E-2</v>
      </c>
      <c r="H62" s="123">
        <f t="shared" si="16"/>
        <v>1.2523413515393442E-2</v>
      </c>
      <c r="I62" s="22">
        <f t="shared" si="3"/>
        <v>0</v>
      </c>
      <c r="J62" s="23"/>
      <c r="K62" s="20"/>
    </row>
    <row r="63" spans="2:11" s="19" customFormat="1" x14ac:dyDescent="0.2">
      <c r="B63" s="90">
        <f t="shared" si="4"/>
        <v>13</v>
      </c>
      <c r="C63" s="91" t="str">
        <f t="shared" si="4"/>
        <v>CARPINTERIA</v>
      </c>
      <c r="D63" s="92">
        <f t="shared" si="5"/>
        <v>22023711.16918895</v>
      </c>
      <c r="E63" s="93">
        <f t="shared" si="5"/>
        <v>7.2823780636562946E-2</v>
      </c>
      <c r="F63" s="123">
        <f t="shared" ref="F63:H63" si="17">F30*$E63</f>
        <v>0</v>
      </c>
      <c r="G63" s="123">
        <f t="shared" si="17"/>
        <v>4.005307935010962E-2</v>
      </c>
      <c r="H63" s="123">
        <f t="shared" si="17"/>
        <v>3.2770701286453326E-2</v>
      </c>
      <c r="I63" s="22">
        <f t="shared" si="3"/>
        <v>0</v>
      </c>
      <c r="J63" s="23"/>
      <c r="K63" s="20"/>
    </row>
    <row r="64" spans="2:11" s="19" customFormat="1" x14ac:dyDescent="0.2">
      <c r="B64" s="90">
        <f t="shared" si="4"/>
        <v>14</v>
      </c>
      <c r="C64" s="91" t="str">
        <f t="shared" si="4"/>
        <v>INSTALACION ELECTRICA</v>
      </c>
      <c r="D64" s="92">
        <f t="shared" si="5"/>
        <v>131705238.48761137</v>
      </c>
      <c r="E64" s="93">
        <f t="shared" si="5"/>
        <v>0.43549760177231872</v>
      </c>
      <c r="F64" s="123">
        <f t="shared" ref="F64:H64" si="18">F31*$E64</f>
        <v>8.709952035446375E-2</v>
      </c>
      <c r="G64" s="123">
        <f t="shared" si="18"/>
        <v>0.1741990407089275</v>
      </c>
      <c r="H64" s="123">
        <f t="shared" si="18"/>
        <v>0.1741990407089275</v>
      </c>
      <c r="I64" s="22">
        <f t="shared" si="3"/>
        <v>0</v>
      </c>
      <c r="J64" s="23"/>
      <c r="K64" s="20"/>
    </row>
    <row r="65" spans="1:11" s="19" customFormat="1" x14ac:dyDescent="0.2">
      <c r="B65" s="90">
        <f t="shared" si="4"/>
        <v>15</v>
      </c>
      <c r="C65" s="91" t="str">
        <f t="shared" si="4"/>
        <v>INSTALACIÓN ELECTROMECÁNICA</v>
      </c>
      <c r="D65" s="92">
        <f t="shared" si="5"/>
        <v>22445776.928718861</v>
      </c>
      <c r="E65" s="93">
        <f t="shared" si="5"/>
        <v>7.4219386674532178E-2</v>
      </c>
      <c r="F65" s="123">
        <f t="shared" ref="F65:H65" si="19">F32*$E65</f>
        <v>0</v>
      </c>
      <c r="G65" s="123">
        <f t="shared" si="19"/>
        <v>4.4531632004719303E-2</v>
      </c>
      <c r="H65" s="123">
        <f t="shared" si="19"/>
        <v>2.9687754669812872E-2</v>
      </c>
      <c r="I65" s="22">
        <f t="shared" si="3"/>
        <v>0</v>
      </c>
      <c r="J65" s="23"/>
      <c r="K65" s="20"/>
    </row>
    <row r="66" spans="1:11" s="19" customFormat="1" x14ac:dyDescent="0.2">
      <c r="B66" s="90">
        <f t="shared" si="4"/>
        <v>16</v>
      </c>
      <c r="C66" s="91" t="str">
        <f t="shared" si="4"/>
        <v>AIRE ACONDICIONADO</v>
      </c>
      <c r="D66" s="92">
        <f t="shared" si="5"/>
        <v>36155129.4117347</v>
      </c>
      <c r="E66" s="93">
        <f t="shared" si="5"/>
        <v>0.11955084195120574</v>
      </c>
      <c r="F66" s="123">
        <f t="shared" ref="F66:H66" si="20">F33*$E66</f>
        <v>2.3910168390241151E-2</v>
      </c>
      <c r="G66" s="123">
        <f t="shared" si="20"/>
        <v>4.7820336780482302E-2</v>
      </c>
      <c r="H66" s="123">
        <f t="shared" si="20"/>
        <v>4.7820336780482302E-2</v>
      </c>
      <c r="I66" s="22">
        <f t="shared" si="3"/>
        <v>0</v>
      </c>
      <c r="J66" s="23"/>
      <c r="K66" s="20"/>
    </row>
    <row r="67" spans="1:11" s="19" customFormat="1" x14ac:dyDescent="0.2">
      <c r="B67" s="90">
        <f t="shared" si="4"/>
        <v>17</v>
      </c>
      <c r="C67" s="91" t="str">
        <f t="shared" si="4"/>
        <v>PINTURA</v>
      </c>
      <c r="D67" s="92">
        <f t="shared" si="5"/>
        <v>7335522.6263710111</v>
      </c>
      <c r="E67" s="93">
        <f t="shared" si="5"/>
        <v>2.4255698165199794E-2</v>
      </c>
      <c r="F67" s="123">
        <f t="shared" ref="F67:H67" si="21">F34*$E67</f>
        <v>0</v>
      </c>
      <c r="G67" s="123">
        <f t="shared" si="21"/>
        <v>1.2127849082599897E-2</v>
      </c>
      <c r="H67" s="123">
        <f t="shared" si="21"/>
        <v>1.2127849082599897E-2</v>
      </c>
      <c r="I67" s="22">
        <f t="shared" si="3"/>
        <v>0</v>
      </c>
      <c r="J67" s="23"/>
      <c r="K67" s="20"/>
    </row>
    <row r="68" spans="1:11" s="19" customFormat="1" x14ac:dyDescent="0.2">
      <c r="B68" s="90">
        <f t="shared" si="4"/>
        <v>18</v>
      </c>
      <c r="C68" s="91" t="str">
        <f t="shared" si="4"/>
        <v>VARIOS</v>
      </c>
      <c r="D68" s="92">
        <f t="shared" si="5"/>
        <v>12545939.198874725</v>
      </c>
      <c r="E68" s="93">
        <f t="shared" si="5"/>
        <v>4.1484503546191175E-2</v>
      </c>
      <c r="F68" s="123">
        <f t="shared" ref="F68:H68" si="22">F35*$E68</f>
        <v>1.2445351063857352E-2</v>
      </c>
      <c r="G68" s="123">
        <f t="shared" si="22"/>
        <v>1.2445351063857352E-2</v>
      </c>
      <c r="H68" s="123">
        <f t="shared" si="22"/>
        <v>1.6593801418476471E-2</v>
      </c>
      <c r="I68" s="22">
        <f t="shared" si="3"/>
        <v>0</v>
      </c>
      <c r="J68" s="23"/>
      <c r="K68" s="20"/>
    </row>
    <row r="69" spans="1:11" s="19" customFormat="1" x14ac:dyDescent="0.2">
      <c r="B69" s="90">
        <f t="shared" si="4"/>
        <v>0</v>
      </c>
      <c r="C69" s="91"/>
      <c r="D69" s="92"/>
      <c r="E69" s="93"/>
      <c r="F69" s="36"/>
      <c r="G69" s="120"/>
      <c r="H69" s="66"/>
      <c r="I69" s="22"/>
      <c r="J69" s="23"/>
      <c r="K69" s="20"/>
    </row>
    <row r="70" spans="1:11" s="19" customFormat="1" x14ac:dyDescent="0.2">
      <c r="B70" s="90">
        <f t="shared" si="4"/>
        <v>0</v>
      </c>
      <c r="C70" s="91"/>
      <c r="D70" s="92"/>
      <c r="E70" s="93"/>
      <c r="F70" s="36"/>
      <c r="G70" s="120"/>
      <c r="H70" s="66"/>
      <c r="I70" s="22"/>
      <c r="J70" s="23"/>
      <c r="K70" s="20"/>
    </row>
    <row r="71" spans="1:11" s="19" customFormat="1" x14ac:dyDescent="0.2">
      <c r="B71" s="90"/>
      <c r="C71" s="91"/>
      <c r="D71" s="92"/>
      <c r="E71" s="93"/>
      <c r="F71" s="36"/>
      <c r="G71" s="120"/>
      <c r="H71" s="66"/>
      <c r="I71" s="22"/>
      <c r="J71" s="23"/>
      <c r="K71" s="20"/>
    </row>
    <row r="72" spans="1:11" s="19" customFormat="1" x14ac:dyDescent="0.2">
      <c r="A72" s="23"/>
      <c r="B72" s="94"/>
      <c r="C72" s="95"/>
      <c r="D72" s="96"/>
      <c r="E72" s="97"/>
      <c r="F72" s="36"/>
      <c r="G72" s="120"/>
      <c r="H72" s="66"/>
      <c r="I72" s="22"/>
      <c r="J72" s="23"/>
      <c r="K72" s="20"/>
    </row>
    <row r="73" spans="1:11" s="19" customFormat="1" x14ac:dyDescent="0.2">
      <c r="A73" s="23"/>
      <c r="B73" s="98"/>
      <c r="C73" s="99" t="s">
        <v>2</v>
      </c>
      <c r="D73" s="100">
        <f>SUM(D51:D72)</f>
        <v>302424715.89193231</v>
      </c>
      <c r="E73" s="101">
        <f>SUM(E51:E72)</f>
        <v>0.99999999999999989</v>
      </c>
      <c r="F73" s="127"/>
      <c r="G73" s="128"/>
      <c r="H73" s="129"/>
      <c r="I73" s="22"/>
    </row>
    <row r="74" spans="1:11" s="19" customFormat="1" x14ac:dyDescent="0.2">
      <c r="B74" s="102"/>
      <c r="C74" s="124" t="s">
        <v>85</v>
      </c>
      <c r="D74" s="125" t="s">
        <v>86</v>
      </c>
      <c r="E74" s="103">
        <v>0</v>
      </c>
      <c r="F74" s="126">
        <f>SUM(F49:F72)</f>
        <v>0.20303806051280296</v>
      </c>
      <c r="G74" s="126">
        <f>SUM(G49:G72)</f>
        <v>0.42750264223113482</v>
      </c>
      <c r="H74" s="126">
        <f>SUM(H49:H72)</f>
        <v>0.3694592972560623</v>
      </c>
      <c r="I74" s="25">
        <f>SUM(F74:H74)</f>
        <v>1</v>
      </c>
    </row>
    <row r="75" spans="1:11" s="19" customFormat="1" x14ac:dyDescent="0.2">
      <c r="A75" s="23"/>
      <c r="B75" s="102"/>
      <c r="C75" s="104"/>
      <c r="D75" s="105" t="s">
        <v>87</v>
      </c>
      <c r="E75" s="103">
        <v>0</v>
      </c>
      <c r="F75" s="37">
        <f>+F74+E75</f>
        <v>0.20303806051280296</v>
      </c>
      <c r="G75" s="37">
        <f>+G74+F75</f>
        <v>0.63054070274393781</v>
      </c>
      <c r="H75" s="37">
        <f>+H74+G75</f>
        <v>1</v>
      </c>
      <c r="I75" s="2"/>
    </row>
    <row r="76" spans="1:11" s="19" customFormat="1" x14ac:dyDescent="0.2">
      <c r="A76" s="23"/>
      <c r="B76" s="102"/>
      <c r="C76" s="106" t="s">
        <v>88</v>
      </c>
      <c r="D76" s="107" t="s">
        <v>86</v>
      </c>
      <c r="E76" s="103">
        <v>0</v>
      </c>
      <c r="F76" s="38">
        <f>+F74*$D$73</f>
        <v>61403727.765833393</v>
      </c>
      <c r="G76" s="38">
        <f>+G74*$D$73</f>
        <v>129287365.11980133</v>
      </c>
      <c r="H76" s="38">
        <f>+H74*$D$73</f>
        <v>111733623.0062976</v>
      </c>
      <c r="I76" s="2"/>
    </row>
    <row r="77" spans="1:11" s="19" customFormat="1" x14ac:dyDescent="0.2">
      <c r="A77" s="121"/>
      <c r="B77" s="104"/>
      <c r="C77" s="108" t="s">
        <v>89</v>
      </c>
      <c r="D77" s="109" t="s">
        <v>87</v>
      </c>
      <c r="E77" s="110">
        <v>0</v>
      </c>
      <c r="F77" s="38">
        <f>+F76</f>
        <v>61403727.765833393</v>
      </c>
      <c r="G77" s="38">
        <f>+G76+F77</f>
        <v>190691092.88563472</v>
      </c>
      <c r="H77" s="38">
        <f>+H76+G77</f>
        <v>302424715.89193231</v>
      </c>
      <c r="I77" s="22">
        <f>H77-$D$73</f>
        <v>0</v>
      </c>
    </row>
    <row r="78" spans="1:11" s="19" customFormat="1" x14ac:dyDescent="0.2">
      <c r="A78" s="23"/>
      <c r="B78" s="34"/>
      <c r="C78" s="34"/>
      <c r="D78" s="34"/>
      <c r="E78" s="34"/>
      <c r="F78" s="34"/>
      <c r="G78" s="34"/>
      <c r="H78" s="34"/>
      <c r="I78" s="2"/>
    </row>
    <row r="79" spans="1:11" s="19" customFormat="1" x14ac:dyDescent="0.2">
      <c r="A79" s="23"/>
      <c r="B79" s="34"/>
      <c r="C79" s="34"/>
      <c r="D79" s="34"/>
      <c r="E79" s="34"/>
      <c r="F79" s="34"/>
      <c r="G79" s="34"/>
      <c r="H79" s="34"/>
      <c r="I79" s="2"/>
    </row>
    <row r="80" spans="1:11" s="19" customFormat="1" x14ac:dyDescent="0.2">
      <c r="B80" s="34"/>
      <c r="C80" s="34"/>
      <c r="D80" s="34"/>
      <c r="E80" s="111">
        <v>0</v>
      </c>
      <c r="F80" s="112">
        <f>F47</f>
        <v>1</v>
      </c>
      <c r="G80" s="112">
        <f>G47</f>
        <v>2</v>
      </c>
      <c r="H80" s="112">
        <f>H47</f>
        <v>3</v>
      </c>
      <c r="I80" s="24"/>
    </row>
    <row r="81" spans="2:9" s="19" customFormat="1" ht="15" x14ac:dyDescent="0.2">
      <c r="B81" s="34"/>
      <c r="C81" s="34"/>
      <c r="D81" s="113"/>
      <c r="E81" s="114">
        <v>0</v>
      </c>
      <c r="F81" s="115">
        <f>F75</f>
        <v>0.20303806051280296</v>
      </c>
      <c r="G81" s="115">
        <f>G75</f>
        <v>0.63054070274393781</v>
      </c>
      <c r="H81" s="115">
        <f>H75</f>
        <v>1</v>
      </c>
      <c r="I81" s="2"/>
    </row>
    <row r="82" spans="2:9" x14ac:dyDescent="0.2">
      <c r="B82" s="35"/>
      <c r="C82" s="35"/>
      <c r="D82" s="35"/>
      <c r="E82" s="116">
        <v>0</v>
      </c>
      <c r="F82" s="116">
        <f>F77</f>
        <v>61403727.765833393</v>
      </c>
      <c r="G82" s="116">
        <f>G77</f>
        <v>190691092.88563472</v>
      </c>
      <c r="H82" s="116">
        <f>H77</f>
        <v>302424715.89193231</v>
      </c>
    </row>
    <row r="83" spans="2:9" x14ac:dyDescent="0.2">
      <c r="B83" s="35"/>
      <c r="C83" s="35"/>
      <c r="D83" s="35"/>
      <c r="E83" s="35"/>
      <c r="F83" s="35"/>
      <c r="G83" s="35"/>
      <c r="H83" s="35"/>
    </row>
    <row r="84" spans="2:9" x14ac:dyDescent="0.2">
      <c r="B84" s="35"/>
      <c r="C84" s="35"/>
      <c r="D84" s="35"/>
      <c r="E84" s="35"/>
      <c r="F84" s="35"/>
      <c r="G84" s="35"/>
      <c r="H84" s="35"/>
    </row>
    <row r="85" spans="2:9" x14ac:dyDescent="0.2">
      <c r="B85" s="35"/>
      <c r="C85" s="35"/>
      <c r="D85" s="35"/>
      <c r="E85" s="35"/>
      <c r="F85" s="35"/>
      <c r="G85" s="35"/>
      <c r="H85" s="35"/>
    </row>
    <row r="86" spans="2:9" x14ac:dyDescent="0.2">
      <c r="B86" s="35"/>
      <c r="C86" s="35"/>
      <c r="D86" s="35"/>
      <c r="E86" s="35"/>
      <c r="F86" s="35"/>
      <c r="G86" s="35"/>
      <c r="H86" s="35"/>
    </row>
    <row r="87" spans="2:9" x14ac:dyDescent="0.2">
      <c r="B87" s="35"/>
      <c r="C87" s="35"/>
      <c r="D87" s="35"/>
      <c r="E87" s="35"/>
      <c r="F87" s="35"/>
      <c r="G87" s="35"/>
      <c r="H87" s="35"/>
    </row>
    <row r="88" spans="2:9" x14ac:dyDescent="0.2">
      <c r="B88" s="35"/>
      <c r="C88" s="35"/>
      <c r="D88" s="35"/>
      <c r="E88" s="35"/>
      <c r="F88" s="35"/>
      <c r="G88" s="35"/>
      <c r="H88" s="35"/>
    </row>
  </sheetData>
  <phoneticPr fontId="0" type="noConversion"/>
  <conditionalFormatting sqref="F49:H50 F69:H72 F17:H37">
    <cfRule type="cellIs" dxfId="3" priority="17" operator="greaterThan">
      <formula>0</formula>
    </cfRule>
  </conditionalFormatting>
  <conditionalFormatting sqref="F51:H68">
    <cfRule type="cellIs" dxfId="2" priority="1" operator="greaterThan">
      <formula>0</formula>
    </cfRule>
    <cfRule type="cellIs" dxfId="1" priority="15" operator="greaterThan">
      <formula>0</formula>
    </cfRule>
  </conditionalFormatting>
  <conditionalFormatting sqref="F18:H35">
    <cfRule type="cellIs" dxfId="0" priority="2" operator="greaterThan">
      <formula>0</formula>
    </cfRule>
  </conditionalFormatting>
  <printOptions horizontalCentered="1"/>
  <pageMargins left="0.74803149606299213" right="0.74803149606299213" top="1.5748031496062993" bottom="0.98425196850393704" header="0" footer="0"/>
  <pageSetup paperSize="9" scale="84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PPTO ESTUDIO TV</vt:lpstr>
      <vt:lpstr>PLAN DE TRABAJO</vt:lpstr>
      <vt:lpstr>Curva avance %</vt:lpstr>
      <vt:lpstr>Curva inversiones</vt:lpstr>
      <vt:lpstr>'PLAN DE TRABAJO'!Área_de_impresión</vt:lpstr>
    </vt:vector>
  </TitlesOfParts>
  <Company>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usrarq</dc:creator>
  <cp:lastModifiedBy>Usuario</cp:lastModifiedBy>
  <cp:lastPrinted>2023-01-30T14:44:35Z</cp:lastPrinted>
  <dcterms:created xsi:type="dcterms:W3CDTF">2008-10-28T10:40:38Z</dcterms:created>
  <dcterms:modified xsi:type="dcterms:W3CDTF">2026-04-09T16:54:01Z</dcterms:modified>
</cp:coreProperties>
</file>